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Business Info" sheetId="2" state="visible" r:id="rId2"/>
    <sheet xmlns:r="http://schemas.openxmlformats.org/officeDocument/2006/relationships" name="Startup Costs" sheetId="3" state="visible" r:id="rId3"/>
    <sheet xmlns:r="http://schemas.openxmlformats.org/officeDocument/2006/relationships" name="Monthly Expenses" sheetId="4" state="visible" r:id="rId4"/>
    <sheet xmlns:r="http://schemas.openxmlformats.org/officeDocument/2006/relationships" name="Inventory Plan" sheetId="5" state="visible" r:id="rId5"/>
    <sheet xmlns:r="http://schemas.openxmlformats.org/officeDocument/2006/relationships" name="Suppliers" sheetId="6" state="visible" r:id="rId6"/>
    <sheet xmlns:r="http://schemas.openxmlformats.org/officeDocument/2006/relationships" name="Sales Forecast" sheetId="7" state="visible" r:id="rId7"/>
    <sheet xmlns:r="http://schemas.openxmlformats.org/officeDocument/2006/relationships" name="Break-Even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P&amp;L" sheetId="10" state="visible" r:id="rId10"/>
    <sheet xmlns:r="http://schemas.openxmlformats.org/officeDocument/2006/relationships" name="Inventory Tracker" sheetId="11" state="visible" r:id="rId11"/>
    <sheet xmlns:r="http://schemas.openxmlformats.org/officeDocument/2006/relationships" name="Product Dashboard" sheetId="12" state="visible" r:id="rId12"/>
    <sheet xmlns:r="http://schemas.openxmlformats.org/officeDocument/2006/relationships" name="Expense Tracker" sheetId="13" state="visible" r:id="rId13"/>
    <sheet xmlns:r="http://schemas.openxmlformats.org/officeDocument/2006/relationships" name="Sales Tracker" sheetId="14" state="visible" r:id="rId14"/>
    <sheet xmlns:r="http://schemas.openxmlformats.org/officeDocument/2006/relationships" name="KPI Dashboard" sheetId="15" state="visible" r:id="rId15"/>
    <sheet xmlns:r="http://schemas.openxmlformats.org/officeDocument/2006/relationships" name="Market Research" sheetId="16" state="visible" r:id="rId16"/>
    <sheet xmlns:r="http://schemas.openxmlformats.org/officeDocument/2006/relationships" name="Risk Analysis" sheetId="17" state="visible" r:id="rId17"/>
    <sheet xmlns:r="http://schemas.openxmlformats.org/officeDocument/2006/relationships" name="Marketing Plan" sheetId="18" state="visible" r:id="rId18"/>
    <sheet xmlns:r="http://schemas.openxmlformats.org/officeDocument/2006/relationships" name="SWOT" sheetId="19" state="visible" r:id="rId19"/>
    <sheet xmlns:r="http://schemas.openxmlformats.org/officeDocument/2006/relationships" name="Action Plan" sheetId="20" state="visible" r:id="rId20"/>
    <sheet xmlns:r="http://schemas.openxmlformats.org/officeDocument/2006/relationships" name="Final 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#,##0 &quot;EGP&quot;;-#,##0 &quot;EGP&quot;;&quot;-&quot;"/>
    <numFmt numFmtId="167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1F3864"/>
      <sz val="10"/>
    </font>
    <font>
      <name val="Arial"/>
      <color rgb="001F4E78"/>
      <sz val="10"/>
    </font>
    <font>
      <name val="Arial"/>
      <i val="1"/>
      <color rgb="007F7F7F"/>
      <sz val="8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375623"/>
      <sz val="10"/>
    </font>
    <font>
      <name val="Arial"/>
      <b val="1"/>
      <color rgb="00FFFFFF"/>
      <sz val="9"/>
    </font>
    <font>
      <name val="Arial"/>
      <b val="1"/>
      <color rgb="001F3864"/>
      <sz val="14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1155CC"/>
      <sz val="10"/>
      <u val="single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2E5395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9C0006"/>
      </patternFill>
    </fill>
    <fill>
      <patternFill patternType="solid">
        <fgColor rgb="001F4E78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7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/>
    </xf>
    <xf numFmtId="0" fontId="18" fillId="5" borderId="1" applyAlignment="1" pivotButton="0" quotePrefix="0" xfId="0">
      <alignment vertical="center" indent="1"/>
    </xf>
    <xf numFmtId="0" fontId="7" fillId="5" borderId="1" applyAlignment="1" pivotButton="0" quotePrefix="0" xfId="0">
      <alignment vertical="center" indent="1"/>
    </xf>
    <xf numFmtId="0" fontId="0" fillId="0" borderId="1" applyAlignment="1" pivotButton="0" quotePrefix="0" xfId="0">
      <alignment horizontal="center"/>
    </xf>
    <xf numFmtId="0" fontId="18" fillId="0" borderId="1" applyAlignment="1" pivotButton="0" quotePrefix="0" xfId="0">
      <alignment vertical="center" indent="1"/>
    </xf>
    <xf numFmtId="0" fontId="7" fillId="0" borderId="1" applyAlignment="1" pivotButton="0" quotePrefix="0" xfId="0">
      <alignment vertical="center" indent="1"/>
    </xf>
    <xf numFmtId="0" fontId="5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pivotButton="0" quotePrefix="0" xfId="0"/>
    <xf numFmtId="0" fontId="3" fillId="0" borderId="1" applyAlignment="1" pivotButton="0" quotePrefix="0" xfId="0">
      <alignment horizontal="left" vertical="center" indent="1"/>
    </xf>
    <xf numFmtId="0" fontId="4" fillId="4" borderId="1" applyAlignment="1" applyProtection="1" pivotButton="0" quotePrefix="0" xfId="0">
      <alignment horizontal="left" vertical="center" indent="1"/>
      <protection locked="0" hidden="0"/>
    </xf>
    <xf numFmtId="3" fontId="4" fillId="4" borderId="1" applyAlignment="1" applyProtection="1" pivotButton="0" quotePrefix="0" xfId="0">
      <alignment horizontal="left" vertical="center" indent="1"/>
      <protection locked="0" hidden="0"/>
    </xf>
    <xf numFmtId="165" fontId="4" fillId="4" borderId="1" applyAlignment="1" applyProtection="1" pivotButton="0" quotePrefix="0" xfId="0">
      <alignment horizontal="left" vertical="center" indent="1"/>
      <protection locked="0" hidden="0"/>
    </xf>
    <xf numFmtId="0" fontId="3" fillId="3" borderId="0" pivotButton="0" quotePrefix="0" xfId="0"/>
    <xf numFmtId="0" fontId="4" fillId="4" borderId="1" applyAlignment="1" applyProtection="1" pivotButton="0" quotePrefix="0" xfId="0">
      <alignment horizontal="left" vertical="top" wrapText="1" indent="1"/>
      <protection locked="0" hidden="0"/>
    </xf>
    <xf numFmtId="0" fontId="0" fillId="4" borderId="1" applyProtection="1" pivotButton="0" quotePrefix="0" xfId="0">
      <protection locked="0" hidden="0"/>
    </xf>
    <xf numFmtId="0" fontId="7" fillId="5" borderId="1" applyAlignment="1" pivotButton="0" quotePrefix="0" xfId="0">
      <alignment horizontal="center"/>
    </xf>
    <xf numFmtId="166" fontId="4" fillId="4" borderId="1" applyAlignment="1" applyProtection="1" pivotButton="0" quotePrefix="0" xfId="0">
      <alignment horizontal="right" vertical="center" indent="1"/>
      <protection locked="0" hidden="0"/>
    </xf>
    <xf numFmtId="0" fontId="0" fillId="5" borderId="1" pivotButton="0" quotePrefix="0" xfId="0"/>
    <xf numFmtId="0" fontId="7" fillId="0" borderId="1" applyAlignment="1" pivotButton="0" quotePrefix="0" xfId="0">
      <alignment horizontal="center"/>
    </xf>
    <xf numFmtId="0" fontId="0" fillId="0" borderId="1" pivotButton="0" quotePrefix="0" xfId="0"/>
    <xf numFmtId="0" fontId="0" fillId="6" borderId="0" pivotButton="0" quotePrefix="0" xfId="0"/>
    <xf numFmtId="0" fontId="8" fillId="6" borderId="0" pivotButton="0" quotePrefix="0" xfId="0"/>
    <xf numFmtId="166" fontId="6" fillId="6" borderId="1" applyAlignment="1" pivotButton="0" quotePrefix="0" xfId="0">
      <alignment horizontal="right" vertical="center" indent="1"/>
    </xf>
    <xf numFmtId="0" fontId="4" fillId="4" borderId="1" applyProtection="1" pivotButton="0" quotePrefix="0" xfId="0">
      <protection locked="0" hidden="0"/>
    </xf>
    <xf numFmtId="166" fontId="4" fillId="4" borderId="1" applyProtection="1" pivotButton="0" quotePrefix="0" xfId="0">
      <protection locked="0" hidden="0"/>
    </xf>
    <xf numFmtId="166" fontId="7" fillId="7" borderId="1" applyAlignment="1" pivotButton="0" quotePrefix="0" xfId="0">
      <alignment horizontal="right" vertical="center" indent="1"/>
    </xf>
    <xf numFmtId="3" fontId="4" fillId="4" borderId="1" applyProtection="1" pivotButton="0" quotePrefix="0" xfId="0">
      <protection locked="0" hidden="0"/>
    </xf>
    <xf numFmtId="0" fontId="8" fillId="6" borderId="0" applyAlignment="1" pivotButton="0" quotePrefix="0" xfId="0">
      <alignment horizontal="right" indent="1"/>
    </xf>
    <xf numFmtId="0" fontId="3" fillId="5" borderId="1" applyAlignment="1" pivotButton="0" quotePrefix="0" xfId="0">
      <alignment horizontal="left" vertical="center" indent="1"/>
    </xf>
    <xf numFmtId="3" fontId="4" fillId="4" borderId="1" applyAlignment="1" applyProtection="1" pivotButton="0" quotePrefix="0" xfId="0">
      <alignment horizontal="right" vertical="center" indent="1"/>
      <protection locked="0" hidden="0"/>
    </xf>
    <xf numFmtId="3" fontId="7" fillId="0" borderId="1" applyAlignment="1" pivotButton="0" quotePrefix="0" xfId="0">
      <alignment horizontal="right" vertical="center" indent="1"/>
    </xf>
    <xf numFmtId="3" fontId="7" fillId="5" borderId="1" applyAlignment="1" pivotButton="0" quotePrefix="0" xfId="0">
      <alignment horizontal="right" vertical="center" indent="1"/>
    </xf>
    <xf numFmtId="166" fontId="9" fillId="0" borderId="1" applyAlignment="1" pivotButton="0" quotePrefix="0" xfId="0">
      <alignment horizontal="right" vertical="center" indent="1"/>
    </xf>
    <xf numFmtId="166" fontId="7" fillId="5" borderId="1" applyAlignment="1" pivotButton="0" quotePrefix="0" xfId="0">
      <alignment horizontal="right" vertical="center" indent="1"/>
    </xf>
    <xf numFmtId="166" fontId="10" fillId="0" borderId="1" applyAlignment="1" pivotButton="0" quotePrefix="0" xfId="0">
      <alignment horizontal="right" vertical="center" indent="1"/>
    </xf>
    <xf numFmtId="167" fontId="7" fillId="5" borderId="1" applyAlignment="1" pivotButton="0" quotePrefix="0" xfId="0">
      <alignment horizontal="right" vertical="center" indent="1"/>
    </xf>
    <xf numFmtId="166" fontId="10" fillId="5" borderId="1" applyAlignment="1" pivotButton="0" quotePrefix="0" xfId="0">
      <alignment horizontal="right" vertical="center" indent="1"/>
    </xf>
    <xf numFmtId="3" fontId="9" fillId="5" borderId="1" applyAlignment="1" pivotButton="0" quotePrefix="0" xfId="0">
      <alignment horizontal="right" vertical="center" indent="1"/>
    </xf>
    <xf numFmtId="166" fontId="9" fillId="5" borderId="1" applyAlignment="1" pivotButton="0" quotePrefix="0" xfId="0">
      <alignment horizontal="right" vertical="center" indent="1"/>
    </xf>
    <xf numFmtId="3" fontId="10" fillId="0" borderId="1" applyAlignment="1" pivotButton="0" quotePrefix="0" xfId="0">
      <alignment horizontal="right" vertical="center" indent="1"/>
    </xf>
    <xf numFmtId="0" fontId="3" fillId="5" borderId="1" applyAlignment="1" pivotButton="0" quotePrefix="0" xfId="0">
      <alignment vertical="center" indent="1"/>
    </xf>
    <xf numFmtId="166" fontId="11" fillId="7" borderId="1" applyAlignment="1" pivotButton="0" quotePrefix="0" xfId="0">
      <alignment horizontal="right" vertical="center" indent="1"/>
    </xf>
    <xf numFmtId="166" fontId="11" fillId="0" borderId="1" applyAlignment="1" pivotButton="0" quotePrefix="0" xfId="0">
      <alignment horizontal="right" vertical="center" indent="1"/>
    </xf>
    <xf numFmtId="166" fontId="7" fillId="0" borderId="1" applyAlignment="1" pivotButton="0" quotePrefix="0" xfId="0">
      <alignment horizontal="right" vertical="center" indent="1"/>
    </xf>
    <xf numFmtId="0" fontId="3" fillId="0" borderId="1" applyAlignment="1" pivotButton="0" quotePrefix="0" xfId="0">
      <alignment vertical="center" indent="1"/>
    </xf>
    <xf numFmtId="3" fontId="7" fillId="7" borderId="1" applyAlignment="1" pivotButton="0" quotePrefix="0" xfId="0">
      <alignment horizontal="right" vertical="center" indent="1"/>
    </xf>
    <xf numFmtId="49" fontId="7" fillId="7" borderId="1" applyAlignment="1" pivotButton="0" quotePrefix="0" xfId="0">
      <alignment horizontal="center" vertical="center" indent="1"/>
    </xf>
    <xf numFmtId="49" fontId="7" fillId="0" borderId="1" applyAlignment="1" pivotButton="0" quotePrefix="0" xfId="0">
      <alignment horizontal="left" vertical="center" indent="1"/>
    </xf>
    <xf numFmtId="165" fontId="4" fillId="4" borderId="1" applyProtection="1" pivotButton="0" quotePrefix="0" xfId="0">
      <protection locked="0" hidden="0"/>
    </xf>
    <xf numFmtId="0" fontId="7" fillId="0" borderId="1" pivotButton="0" quotePrefix="0" xfId="0"/>
    <xf numFmtId="0" fontId="3" fillId="0" borderId="1" pivotButton="0" quotePrefix="0" xfId="0"/>
    <xf numFmtId="0" fontId="12" fillId="2" borderId="0" applyAlignment="1" pivotButton="0" quotePrefix="0" xfId="0">
      <alignment horizontal="left" vertical="center" wrapText="1" indent="1"/>
    </xf>
    <xf numFmtId="166" fontId="12" fillId="2" borderId="0" applyAlignment="1" pivotButton="0" quotePrefix="0" xfId="0">
      <alignment horizontal="left" vertical="center" wrapText="1" indent="1"/>
    </xf>
    <xf numFmtId="167" fontId="12" fillId="2" borderId="0" applyAlignment="1" pivotButton="0" quotePrefix="0" xfId="0">
      <alignment horizontal="left" vertical="center" wrapText="1" indent="1"/>
    </xf>
    <xf numFmtId="3" fontId="12" fillId="2" borderId="0" applyAlignment="1" pivotButton="0" quotePrefix="0" xfId="0">
      <alignment horizontal="left" vertical="center" wrapText="1" indent="1"/>
    </xf>
    <xf numFmtId="166" fontId="13" fillId="5" borderId="0" applyAlignment="1" pivotButton="0" quotePrefix="0" xfId="0">
      <alignment horizontal="center" vertical="center"/>
    </xf>
    <xf numFmtId="0" fontId="4" fillId="4" borderId="1" applyAlignment="1" applyProtection="1" pivotButton="0" quotePrefix="0" xfId="0">
      <alignment vertical="top" wrapText="1"/>
      <protection locked="0" hidden="0"/>
    </xf>
    <xf numFmtId="0" fontId="7" fillId="0" borderId="1" applyAlignment="1" pivotButton="0" quotePrefix="0" xfId="0">
      <alignment vertical="center" wrapText="1"/>
    </xf>
    <xf numFmtId="3" fontId="9" fillId="0" borderId="1" applyAlignment="1" pivotButton="0" quotePrefix="0" xfId="0">
      <alignment horizontal="center" vertical="center" indent="1"/>
    </xf>
    <xf numFmtId="0" fontId="4" fillId="4" borderId="1" applyAlignment="1" applyProtection="1" pivotButton="0" quotePrefix="0" xfId="0">
      <alignment vertical="center" wrapText="1"/>
      <protection locked="0" hidden="0"/>
    </xf>
    <xf numFmtId="0" fontId="14" fillId="8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 indent="1"/>
    </xf>
    <xf numFmtId="0" fontId="5" fillId="0" borderId="1" applyAlignment="1" pivotButton="0" quotePrefix="0" xfId="0">
      <alignment vertical="center" wrapText="1" indent="1"/>
    </xf>
    <xf numFmtId="166" fontId="3" fillId="5" borderId="1" applyAlignment="1" pivotButton="0" quotePrefix="0" xfId="0">
      <alignment horizontal="right" vertical="center" indent="1"/>
    </xf>
    <xf numFmtId="167" fontId="10" fillId="5" borderId="1" applyAlignment="1" pivotButton="0" quotePrefix="0" xfId="0">
      <alignment horizontal="right" vertical="center" indent="1"/>
    </xf>
    <xf numFmtId="49" fontId="7" fillId="5" borderId="1" applyAlignment="1" pivotButton="0" quotePrefix="0" xfId="0">
      <alignment horizontal="left" vertical="center" indent="1"/>
    </xf>
    <xf numFmtId="166" fontId="3" fillId="0" borderId="1" applyAlignment="1" pivotButton="0" quotePrefix="0" xfId="0">
      <alignment horizontal="right" vertical="center" indent="1"/>
    </xf>
    <xf numFmtId="49" fontId="15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dxfs count="8">
    <dxf>
      <fill>
        <patternFill patternType="solid">
          <fgColor rgb="00FCE4D6"/>
        </patternFill>
      </fill>
    </dxf>
    <dxf>
      <font>
        <b val="1"/>
        <color rgb="00C00000"/>
      </font>
    </dxf>
    <dxf>
      <font>
        <b val="1"/>
        <color rgb="00C00000"/>
      </font>
      <fill>
        <patternFill patternType="solid">
          <fgColor rgb="00FCE4D6"/>
        </patternFill>
      </fill>
    </dxf>
    <dxf>
      <font>
        <color rgb="00C00000"/>
      </font>
    </dxf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ont>
        <color rgb="00808080"/>
      </font>
      <fill>
        <patternFill patternType="solid">
          <fgColor rgb="00F2F2F2"/>
        </patternFill>
      </fill>
    </dxf>
    <dxf>
      <font>
        <b val="1"/>
        <color rgb="0037562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Selling Products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Dashboard'!D5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Dashboard'!$C$6:$C$10</f>
            </numRef>
          </cat>
          <val>
            <numRef>
              <f>'Product Dashboard'!$D$6:$D$10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/ Gross Profit / Net Profit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'P&amp;L'!A5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'P&amp;L'!$B$4:$M$4</f>
            </numRef>
          </cat>
          <val>
            <numRef>
              <f>'P&amp;L'!$B$5:$M$5</f>
            </numRef>
          </val>
        </ser>
        <ser>
          <idx val="1"/>
          <order val="1"/>
          <tx>
            <strRef>
              <f>'P&amp;L'!A7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'P&amp;L'!$B$4:$M$4</f>
            </numRef>
          </cat>
          <val>
            <numRef>
              <f>'P&amp;L'!$B$7:$M$7</f>
            </numRef>
          </val>
        </ser>
        <ser>
          <idx val="2"/>
          <order val="2"/>
          <tx>
            <strRef>
              <f>'P&amp;L'!A9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'P&amp;L'!$B$4:$M$4</f>
            </numRef>
          </cat>
          <val>
            <numRef>
              <f>'P&amp;L'!$B$9:$M$9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EGP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 Breakdown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'Monthly Expenses'!$B$5:$B$17</f>
            </numRef>
          </cat>
          <val>
            <numRef>
              <f>'Monthly Expenses'!$C$5:$C$17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32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usiness Info'!A1" TargetMode="External" Id="rId1"/><Relationship Type="http://schemas.openxmlformats.org/officeDocument/2006/relationships/hyperlink" Target="#'Startup Costs'!A1" TargetMode="External" Id="rId2"/><Relationship Type="http://schemas.openxmlformats.org/officeDocument/2006/relationships/hyperlink" Target="#'Monthly Expenses'!A1" TargetMode="External" Id="rId3"/><Relationship Type="http://schemas.openxmlformats.org/officeDocument/2006/relationships/hyperlink" Target="#'Inventory Plan'!A1" TargetMode="External" Id="rId4"/><Relationship Type="http://schemas.openxmlformats.org/officeDocument/2006/relationships/hyperlink" Target="#'Suppliers'!A1" TargetMode="External" Id="rId5"/><Relationship Type="http://schemas.openxmlformats.org/officeDocument/2006/relationships/hyperlink" Target="#'Sales Forecast'!A1" TargetMode="External" Id="rId6"/><Relationship Type="http://schemas.openxmlformats.org/officeDocument/2006/relationships/hyperlink" Target="#'Break-Even'!A1" TargetMode="External" Id="rId7"/><Relationship Type="http://schemas.openxmlformats.org/officeDocument/2006/relationships/hyperlink" Target="#'Cash Flow'!A1" TargetMode="External" Id="rId8"/><Relationship Type="http://schemas.openxmlformats.org/officeDocument/2006/relationships/hyperlink" Target="#'P&amp;L'!A1" TargetMode="External" Id="rId9"/><Relationship Type="http://schemas.openxmlformats.org/officeDocument/2006/relationships/hyperlink" Target="#'Inventory Tracker'!A1" TargetMode="External" Id="rId10"/><Relationship Type="http://schemas.openxmlformats.org/officeDocument/2006/relationships/hyperlink" Target="#'Product Dashboard'!A1" TargetMode="External" Id="rId11"/><Relationship Type="http://schemas.openxmlformats.org/officeDocument/2006/relationships/hyperlink" Target="#'Expense Tracker'!A1" TargetMode="External" Id="rId12"/><Relationship Type="http://schemas.openxmlformats.org/officeDocument/2006/relationships/hyperlink" Target="#'Sales Tracker'!A1" TargetMode="External" Id="rId13"/><Relationship Type="http://schemas.openxmlformats.org/officeDocument/2006/relationships/hyperlink" Target="#'KPI Dashboard'!A1" TargetMode="External" Id="rId14"/><Relationship Type="http://schemas.openxmlformats.org/officeDocument/2006/relationships/hyperlink" Target="#'Market Research'!A1" TargetMode="External" Id="rId15"/><Relationship Type="http://schemas.openxmlformats.org/officeDocument/2006/relationships/hyperlink" Target="#'Risk Analysis'!A1" TargetMode="External" Id="rId16"/><Relationship Type="http://schemas.openxmlformats.org/officeDocument/2006/relationships/hyperlink" Target="#'Marketing Plan'!A1" TargetMode="External" Id="rId17"/><Relationship Type="http://schemas.openxmlformats.org/officeDocument/2006/relationships/hyperlink" Target="#'SWOT'!A1" TargetMode="External" Id="rId18"/><Relationship Type="http://schemas.openxmlformats.org/officeDocument/2006/relationships/hyperlink" Target="#'Action Plan'!A1" TargetMode="External" Id="rId19"/><Relationship Type="http://schemas.openxmlformats.org/officeDocument/2006/relationships/hyperlink" Target="#'Final Summary'!A1" TargetMode="External" Id="rId20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C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60" customWidth="1" min="3" max="3"/>
  </cols>
  <sheetData>
    <row r="1" ht="40" customHeight="1">
      <c r="A1" s="1" t="inlineStr">
        <is>
          <t>SHOE STORE FEASIBILITY &amp; FINANCIAL MODEL</t>
        </is>
      </c>
      <c r="B1" s="2" t="n"/>
      <c r="C1" s="2" t="n"/>
    </row>
    <row r="2" ht="22" customHeight="1">
      <c r="A2" s="3" t="inlineStr">
        <is>
          <t>El Warraq, Giza, Egypt  —  Prepared for internal planning, investor &amp; bank presentation</t>
        </is>
      </c>
      <c r="B2" s="2" t="n"/>
      <c r="C2" s="2" t="n"/>
    </row>
    <row r="4" ht="30" customHeight="1">
      <c r="A4" s="4" t="inlineStr">
        <is>
          <t>#</t>
        </is>
      </c>
      <c r="B4" s="4" t="inlineStr">
        <is>
          <t>Section</t>
        </is>
      </c>
      <c r="C4" s="4" t="inlineStr">
        <is>
          <t>Description</t>
        </is>
      </c>
    </row>
    <row r="5">
      <c r="A5" s="5" t="n">
        <v>1</v>
      </c>
      <c r="B5" s="6" t="inlineStr">
        <is>
          <t>Business Info</t>
        </is>
      </c>
      <c r="C5" s="7" t="inlineStr">
        <is>
          <t>Store profile, concept, target market</t>
        </is>
      </c>
    </row>
    <row r="6">
      <c r="A6" s="8" t="n">
        <v>2</v>
      </c>
      <c r="B6" s="9" t="inlineStr">
        <is>
          <t>Startup Costs</t>
        </is>
      </c>
      <c r="C6" s="10" t="inlineStr">
        <is>
          <t>One-time pre-opening investment budget</t>
        </is>
      </c>
    </row>
    <row r="7">
      <c r="A7" s="5" t="n">
        <v>3</v>
      </c>
      <c r="B7" s="6" t="inlineStr">
        <is>
          <t>Monthly Expenses</t>
        </is>
      </c>
      <c r="C7" s="7" t="inlineStr">
        <is>
          <t>Recurring monthly operating costs</t>
        </is>
      </c>
    </row>
    <row r="8">
      <c r="A8" s="8" t="n">
        <v>4</v>
      </c>
      <c r="B8" s="9" t="inlineStr">
        <is>
          <t>Inventory Plan</t>
        </is>
      </c>
      <c r="C8" s="10" t="inlineStr">
        <is>
          <t>Initial stock purchase plan by supplier/model</t>
        </is>
      </c>
    </row>
    <row r="9">
      <c r="A9" s="5" t="n">
        <v>5</v>
      </c>
      <c r="B9" s="6" t="inlineStr">
        <is>
          <t>Suppliers</t>
        </is>
      </c>
      <c r="C9" s="7" t="inlineStr">
        <is>
          <t>Supplier directory &amp; ratings</t>
        </is>
      </c>
    </row>
    <row r="10">
      <c r="A10" s="8" t="n">
        <v>6</v>
      </c>
      <c r="B10" s="9" t="inlineStr">
        <is>
          <t>Sales Forecast</t>
        </is>
      </c>
      <c r="C10" s="10" t="inlineStr">
        <is>
          <t>Conservative / Expected / Optimistic projections</t>
        </is>
      </c>
    </row>
    <row r="11">
      <c r="A11" s="5" t="n">
        <v>7</v>
      </c>
      <c r="B11" s="6" t="inlineStr">
        <is>
          <t>Break-Even</t>
        </is>
      </c>
      <c r="C11" s="7" t="inlineStr">
        <is>
          <t>Break-even units, revenue and timing</t>
        </is>
      </c>
    </row>
    <row r="12">
      <c r="A12" s="8" t="n">
        <v>8</v>
      </c>
      <c r="B12" s="9" t="inlineStr">
        <is>
          <t>Cash Flow</t>
        </is>
      </c>
      <c r="C12" s="10" t="inlineStr">
        <is>
          <t>12-month monthly cash flow projection</t>
        </is>
      </c>
    </row>
    <row r="13">
      <c r="A13" s="5" t="n">
        <v>9</v>
      </c>
      <c r="B13" s="6" t="inlineStr">
        <is>
          <t>P&amp;L</t>
        </is>
      </c>
      <c r="C13" s="7" t="inlineStr">
        <is>
          <t>Monthly &amp; yearly profit and loss statement</t>
        </is>
      </c>
    </row>
    <row r="14">
      <c r="A14" s="8" t="n">
        <v>10</v>
      </c>
      <c r="B14" s="9" t="inlineStr">
        <is>
          <t>Inventory Tracker</t>
        </is>
      </c>
      <c r="C14" s="10" t="inlineStr">
        <is>
          <t>Live stock levels &amp; movement classification</t>
        </is>
      </c>
    </row>
    <row r="15">
      <c r="A15" s="5" t="n">
        <v>11</v>
      </c>
      <c r="B15" s="6" t="inlineStr">
        <is>
          <t>Product Dashboard</t>
        </is>
      </c>
      <c r="C15" s="7" t="inlineStr">
        <is>
          <t>Top/worst sellers and margin leaders + chart</t>
        </is>
      </c>
    </row>
    <row r="16">
      <c r="A16" s="8" t="n">
        <v>12</v>
      </c>
      <c r="B16" s="9" t="inlineStr">
        <is>
          <t>Expense Tracker</t>
        </is>
      </c>
      <c r="C16" s="10" t="inlineStr">
        <is>
          <t>Log of actual expenses with category summary</t>
        </is>
      </c>
    </row>
    <row r="17">
      <c r="A17" s="5" t="n">
        <v>13</v>
      </c>
      <c r="B17" s="6" t="inlineStr">
        <is>
          <t>Sales Tracker</t>
        </is>
      </c>
      <c r="C17" s="7" t="inlineStr">
        <is>
          <t>Log of actual sales with daily/monthly summary</t>
        </is>
      </c>
    </row>
    <row r="18">
      <c r="A18" s="8" t="n">
        <v>14</v>
      </c>
      <c r="B18" s="9" t="inlineStr">
        <is>
          <t>KPI Dashboard</t>
        </is>
      </c>
      <c r="C18" s="10" t="inlineStr">
        <is>
          <t>Key metrics and interactive charts</t>
        </is>
      </c>
    </row>
    <row r="19">
      <c r="A19" s="5" t="n">
        <v>15</v>
      </c>
      <c r="B19" s="6" t="inlineStr">
        <is>
          <t>Market Research</t>
        </is>
      </c>
      <c r="C19" s="7" t="inlineStr">
        <is>
          <t>Competitor landscape</t>
        </is>
      </c>
    </row>
    <row r="20">
      <c r="A20" s="8" t="n">
        <v>16</v>
      </c>
      <c r="B20" s="9" t="inlineStr">
        <is>
          <t>Risk Analysis</t>
        </is>
      </c>
      <c r="C20" s="10" t="inlineStr">
        <is>
          <t>Risk register with likelihood x impact scoring</t>
        </is>
      </c>
    </row>
    <row r="21">
      <c r="A21" s="5" t="n">
        <v>17</v>
      </c>
      <c r="B21" s="6" t="inlineStr">
        <is>
          <t>Marketing Plan</t>
        </is>
      </c>
      <c r="C21" s="7" t="inlineStr">
        <is>
          <t>Channel budget &amp; activity plan</t>
        </is>
      </c>
    </row>
    <row r="22">
      <c r="A22" s="8" t="n">
        <v>18</v>
      </c>
      <c r="B22" s="9" t="inlineStr">
        <is>
          <t>SWOT</t>
        </is>
      </c>
      <c r="C22" s="10" t="inlineStr">
        <is>
          <t>Strengths, Weaknesses, Opportunities, Threats</t>
        </is>
      </c>
    </row>
    <row r="23">
      <c r="A23" s="5" t="n">
        <v>19</v>
      </c>
      <c r="B23" s="6" t="inlineStr">
        <is>
          <t>Action Plan</t>
        </is>
      </c>
      <c r="C23" s="7" t="inlineStr">
        <is>
          <t>Pre-opening task list &amp; status tracking</t>
        </is>
      </c>
    </row>
    <row r="24">
      <c r="A24" s="8" t="n">
        <v>20</v>
      </c>
      <c r="B24" s="9" t="inlineStr">
        <is>
          <t>Final Summary</t>
        </is>
      </c>
      <c r="C24" s="10" t="inlineStr">
        <is>
          <t>Investor/bank-ready feasibility snapshot</t>
        </is>
      </c>
    </row>
    <row r="27">
      <c r="A27" s="11" t="inlineStr">
        <is>
          <t>How to use this workbook: 1) Fill in Business Info, Startup Costs, Monthly Expenses, Inventory Plan and Sales Forecast (yellow cells). 2) Break-Even, Cash Flow, P&amp;L, KPI Dashboard and Final Summary calculate automatically. 3) Use Suppliers, Market Research, Risk Analysis, Marketing Plan, SWOT and Action Plan as planning worksheets. 4) Use Inventory/Expense/Sales Trackers once the store is operating, to keep the model live and accurate. Yellow cells = editable inputs. Blue/white cells = automatic formulas (protected).</t>
        </is>
      </c>
    </row>
  </sheetData>
  <mergeCells count="2">
    <mergeCell ref="A1:C1"/>
    <mergeCell ref="A2:C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E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" customWidth="1" min="3" max="3"/>
    <col width="30" customWidth="1" min="4" max="4"/>
    <col width="30" customWidth="1" min="5" max="5"/>
  </cols>
  <sheetData>
    <row r="1" ht="32" customHeight="1">
      <c r="A1" s="12" t="inlineStr">
        <is>
          <t>SHOE STORE FEASIBILITY MODEL</t>
        </is>
      </c>
      <c r="B1" s="2" t="n"/>
      <c r="C1" s="2" t="n"/>
      <c r="D1" s="2" t="n"/>
      <c r="E1" s="2" t="n"/>
    </row>
    <row r="2" ht="16" customHeight="1">
      <c r="A2" s="13" t="inlineStr">
        <is>
          <t>Business Information  |  El Warraq, Giza, Egypt</t>
        </is>
      </c>
      <c r="B2" s="2" t="n"/>
      <c r="C2" s="2" t="n"/>
      <c r="D2" s="2" t="n"/>
      <c r="E2" s="2" t="n"/>
    </row>
    <row r="3"/>
    <row r="4">
      <c r="A4" s="14" t="inlineStr">
        <is>
          <t>INPUT FIELD</t>
        </is>
      </c>
      <c r="B4" s="14" t="inlineStr">
        <is>
          <t>VALUE</t>
        </is>
      </c>
    </row>
    <row r="5">
      <c r="A5" s="15" t="inlineStr">
        <is>
          <t>Store Name</t>
        </is>
      </c>
      <c r="B5" s="16" t="inlineStr">
        <is>
          <t>Enter store name</t>
        </is>
      </c>
    </row>
    <row r="6">
      <c r="A6" s="15" t="inlineStr">
        <is>
          <t>Store Location</t>
        </is>
      </c>
      <c r="B6" s="16" t="inlineStr">
        <is>
          <t>El Warraq, Giza, Egypt</t>
        </is>
      </c>
    </row>
    <row r="7">
      <c r="A7" s="15" t="inlineStr">
        <is>
          <t>Store Size (sqm)</t>
        </is>
      </c>
      <c r="B7" s="17" t="n">
        <v>60</v>
      </c>
    </row>
    <row r="8">
      <c r="A8" s="15" t="inlineStr">
        <is>
          <t>Store Frontage (m)</t>
        </is>
      </c>
      <c r="B8" s="17" t="n">
        <v>6</v>
      </c>
    </row>
    <row r="9">
      <c r="A9" s="15" t="inlineStr">
        <is>
          <t>Opening Date</t>
        </is>
      </c>
      <c r="B9" s="18" t="n">
        <v>46023</v>
      </c>
    </row>
    <row r="10">
      <c r="A10" s="15" t="inlineStr">
        <is>
          <t>Business Owner</t>
        </is>
      </c>
      <c r="B10" s="16" t="inlineStr">
        <is>
          <t>Enter owner name</t>
        </is>
      </c>
    </row>
    <row r="11">
      <c r="A11" s="15" t="inlineStr">
        <is>
          <t>Store Concept</t>
        </is>
      </c>
      <c r="B11" s="16" t="inlineStr">
        <is>
          <t>Value-for-money family footwear store</t>
        </is>
      </c>
    </row>
    <row r="12">
      <c r="A12" s="15" t="inlineStr">
        <is>
          <t>Target Market</t>
        </is>
      </c>
      <c r="B12" s="16" t="inlineStr">
        <is>
          <t>Middle-income families, El Warraq &amp; Greater Giza</t>
        </is>
      </c>
    </row>
    <row r="13"/>
    <row r="14">
      <c r="A14" s="19" t="inlineStr">
        <is>
          <t>NOTES</t>
        </is>
      </c>
    </row>
    <row r="15">
      <c r="A15" s="20" t="inlineStr">
        <is>
          <t>Add any relevant notes about the business concept, positioning, competitive advantage, etc.</t>
        </is>
      </c>
      <c r="B15" s="21" t="n"/>
    </row>
    <row r="16">
      <c r="A16" s="21" t="n"/>
      <c r="B16" s="21" t="n"/>
    </row>
    <row r="17">
      <c r="A17" s="21" t="n"/>
      <c r="B17" s="21" t="n"/>
    </row>
    <row r="18">
      <c r="A18" s="21" t="n"/>
      <c r="B18" s="21" t="n"/>
    </row>
    <row r="19">
      <c r="A19" s="21" t="n"/>
      <c r="B19" s="21" t="n"/>
    </row>
    <row r="20"/>
    <row r="21">
      <c r="A21" s="11" t="inlineStr">
        <is>
          <t>Legend: Yellow cells = editable inputs. All other sheets pull data automatically from here where relevant.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A2:E2"/>
    <mergeCell ref="A14:B14"/>
    <mergeCell ref="A1:E1"/>
    <mergeCell ref="A15:B1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E5395"/>
    <outlinePr summaryBelow="1" summaryRight="1"/>
    <pageSetUpPr fitToPage="1"/>
  </sheetPr>
  <dimension ref="A1:D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34" customWidth="1" min="4" max="4"/>
  </cols>
  <sheetData>
    <row r="1" ht="32" customHeight="1">
      <c r="A1" s="12" t="inlineStr">
        <is>
          <t>STARTUP COSTS</t>
        </is>
      </c>
      <c r="B1" s="2" t="n"/>
      <c r="C1" s="2" t="n"/>
      <c r="D1" s="2" t="n"/>
    </row>
    <row r="2" ht="16" customHeight="1">
      <c r="A2" s="13" t="inlineStr">
        <is>
          <t>One-time pre-opening investment budget (EGP)</t>
        </is>
      </c>
      <c r="B2" s="2" t="n"/>
      <c r="C2" s="2" t="n"/>
      <c r="D2" s="2" t="n"/>
    </row>
    <row r="3"/>
    <row r="4" ht="30" customHeight="1">
      <c r="A4" s="4" t="inlineStr">
        <is>
          <t>#</t>
        </is>
      </c>
      <c r="B4" s="4" t="inlineStr">
        <is>
          <t>Cost Item</t>
        </is>
      </c>
      <c r="C4" s="4" t="inlineStr">
        <is>
          <t>Amount (EGP)</t>
        </is>
      </c>
      <c r="D4" s="4" t="inlineStr">
        <is>
          <t>Notes</t>
        </is>
      </c>
    </row>
    <row r="5">
      <c r="A5" s="22" t="n">
        <v>1</v>
      </c>
      <c r="B5" s="7" t="inlineStr">
        <is>
          <t>Security Deposit</t>
        </is>
      </c>
      <c r="C5" s="23" t="n">
        <v>0</v>
      </c>
      <c r="D5" s="24" t="n"/>
    </row>
    <row r="6">
      <c r="A6" s="25" t="n">
        <v>2</v>
      </c>
      <c r="B6" s="10" t="inlineStr">
        <is>
          <t>Rent (advance)</t>
        </is>
      </c>
      <c r="C6" s="23" t="n">
        <v>0</v>
      </c>
      <c r="D6" s="26" t="n"/>
    </row>
    <row r="7">
      <c r="A7" s="22" t="n">
        <v>3</v>
      </c>
      <c r="B7" s="7" t="inlineStr">
        <is>
          <t>Renovation</t>
        </is>
      </c>
      <c r="C7" s="23" t="n">
        <v>0</v>
      </c>
      <c r="D7" s="24" t="n"/>
    </row>
    <row r="8">
      <c r="A8" s="25" t="n">
        <v>4</v>
      </c>
      <c r="B8" s="10" t="inlineStr">
        <is>
          <t>Painting</t>
        </is>
      </c>
      <c r="C8" s="23" t="n">
        <v>0</v>
      </c>
      <c r="D8" s="26" t="n"/>
    </row>
    <row r="9">
      <c r="A9" s="22" t="n">
        <v>5</v>
      </c>
      <c r="B9" s="7" t="inlineStr">
        <is>
          <t>Flooring</t>
        </is>
      </c>
      <c r="C9" s="23" t="n">
        <v>0</v>
      </c>
      <c r="D9" s="24" t="n"/>
    </row>
    <row r="10">
      <c r="A10" s="25" t="n">
        <v>6</v>
      </c>
      <c r="B10" s="10" t="inlineStr">
        <is>
          <t>Shelves</t>
        </is>
      </c>
      <c r="C10" s="23" t="n">
        <v>0</v>
      </c>
      <c r="D10" s="26" t="n"/>
    </row>
    <row r="11">
      <c r="A11" s="22" t="n">
        <v>7</v>
      </c>
      <c r="B11" s="7" t="inlineStr">
        <is>
          <t>Shoe Display Racks</t>
        </is>
      </c>
      <c r="C11" s="23" t="n">
        <v>0</v>
      </c>
      <c r="D11" s="24" t="n"/>
    </row>
    <row r="12">
      <c r="A12" s="25" t="n">
        <v>8</v>
      </c>
      <c r="B12" s="10" t="inlineStr">
        <is>
          <t>Mirrors</t>
        </is>
      </c>
      <c r="C12" s="23" t="n">
        <v>0</v>
      </c>
      <c r="D12" s="26" t="n"/>
    </row>
    <row r="13">
      <c r="A13" s="22" t="n">
        <v>9</v>
      </c>
      <c r="B13" s="7" t="inlineStr">
        <is>
          <t>Signboard</t>
        </is>
      </c>
      <c r="C13" s="23" t="n">
        <v>0</v>
      </c>
      <c r="D13" s="24" t="n"/>
    </row>
    <row r="14">
      <c r="A14" s="25" t="n">
        <v>10</v>
      </c>
      <c r="B14" s="10" t="inlineStr">
        <is>
          <t>Lighting</t>
        </is>
      </c>
      <c r="C14" s="23" t="n">
        <v>0</v>
      </c>
      <c r="D14" s="26" t="n"/>
    </row>
    <row r="15">
      <c r="A15" s="22" t="n">
        <v>11</v>
      </c>
      <c r="B15" s="7" t="inlineStr">
        <is>
          <t>Cash Counter</t>
        </is>
      </c>
      <c r="C15" s="23" t="n">
        <v>0</v>
      </c>
      <c r="D15" s="24" t="n"/>
    </row>
    <row r="16">
      <c r="A16" s="25" t="n">
        <v>12</v>
      </c>
      <c r="B16" s="10" t="inlineStr">
        <is>
          <t>POS System</t>
        </is>
      </c>
      <c r="C16" s="23" t="n">
        <v>0</v>
      </c>
      <c r="D16" s="26" t="n"/>
    </row>
    <row r="17">
      <c r="A17" s="22" t="n">
        <v>13</v>
      </c>
      <c r="B17" s="7" t="inlineStr">
        <is>
          <t>Cash Drawer</t>
        </is>
      </c>
      <c r="C17" s="23" t="n">
        <v>0</v>
      </c>
      <c r="D17" s="24" t="n"/>
    </row>
    <row r="18">
      <c r="A18" s="25" t="n">
        <v>14</v>
      </c>
      <c r="B18" s="10" t="inlineStr">
        <is>
          <t>Printer</t>
        </is>
      </c>
      <c r="C18" s="23" t="n">
        <v>0</v>
      </c>
      <c r="D18" s="26" t="n"/>
    </row>
    <row r="19">
      <c r="A19" s="22" t="n">
        <v>15</v>
      </c>
      <c r="B19" s="7" t="inlineStr">
        <is>
          <t>Security Cameras</t>
        </is>
      </c>
      <c r="C19" s="23" t="n">
        <v>0</v>
      </c>
      <c r="D19" s="24" t="n"/>
    </row>
    <row r="20">
      <c r="A20" s="25" t="n">
        <v>16</v>
      </c>
      <c r="B20" s="10" t="inlineStr">
        <is>
          <t>Internet Setup</t>
        </is>
      </c>
      <c r="C20" s="23" t="n">
        <v>0</v>
      </c>
      <c r="D20" s="26" t="n"/>
    </row>
    <row r="21">
      <c r="A21" s="22" t="n">
        <v>17</v>
      </c>
      <c r="B21" s="7" t="inlineStr">
        <is>
          <t>Air Conditioner</t>
        </is>
      </c>
      <c r="C21" s="23" t="n">
        <v>0</v>
      </c>
      <c r="D21" s="24" t="n"/>
    </row>
    <row r="22">
      <c r="A22" s="25" t="n">
        <v>18</v>
      </c>
      <c r="B22" s="10" t="inlineStr">
        <is>
          <t>Fans</t>
        </is>
      </c>
      <c r="C22" s="23" t="n">
        <v>0</v>
      </c>
      <c r="D22" s="26" t="n"/>
    </row>
    <row r="23">
      <c r="A23" s="22" t="n">
        <v>19</v>
      </c>
      <c r="B23" s="7" t="inlineStr">
        <is>
          <t>Chairs</t>
        </is>
      </c>
      <c r="C23" s="23" t="n">
        <v>0</v>
      </c>
      <c r="D23" s="24" t="n"/>
    </row>
    <row r="24">
      <c r="A24" s="25" t="n">
        <v>20</v>
      </c>
      <c r="B24" s="10" t="inlineStr">
        <is>
          <t>Storage Shelves</t>
        </is>
      </c>
      <c r="C24" s="23" t="n">
        <v>0</v>
      </c>
      <c r="D24" s="26" t="n"/>
    </row>
    <row r="25">
      <c r="A25" s="22" t="n">
        <v>21</v>
      </c>
      <c r="B25" s="7" t="inlineStr">
        <is>
          <t>Decoration</t>
        </is>
      </c>
      <c r="C25" s="23" t="n">
        <v>0</v>
      </c>
      <c r="D25" s="24" t="n"/>
    </row>
    <row r="26">
      <c r="A26" s="25" t="n">
        <v>22</v>
      </c>
      <c r="B26" s="10" t="inlineStr">
        <is>
          <t>Bags (branded)</t>
        </is>
      </c>
      <c r="C26" s="23" t="n">
        <v>0</v>
      </c>
      <c r="D26" s="26" t="n"/>
    </row>
    <row r="27">
      <c r="A27" s="22" t="n">
        <v>23</v>
      </c>
      <c r="B27" s="7" t="inlineStr">
        <is>
          <t>Branding &amp; Logo Design</t>
        </is>
      </c>
      <c r="C27" s="23" t="n">
        <v>0</v>
      </c>
      <c r="D27" s="24" t="n"/>
    </row>
    <row r="28">
      <c r="A28" s="25" t="n">
        <v>24</v>
      </c>
      <c r="B28" s="10" t="inlineStr">
        <is>
          <t>Business Licenses</t>
        </is>
      </c>
      <c r="C28" s="23" t="n">
        <v>0</v>
      </c>
      <c r="D28" s="26" t="n"/>
    </row>
    <row r="29">
      <c r="A29" s="22" t="n">
        <v>25</v>
      </c>
      <c r="B29" s="7" t="inlineStr">
        <is>
          <t>Commercial Registration</t>
        </is>
      </c>
      <c r="C29" s="23" t="n">
        <v>0</v>
      </c>
      <c r="D29" s="24" t="n"/>
    </row>
    <row r="30">
      <c r="A30" s="25" t="n">
        <v>26</v>
      </c>
      <c r="B30" s="10" t="inlineStr">
        <is>
          <t>Tax Registration</t>
        </is>
      </c>
      <c r="C30" s="23" t="n">
        <v>0</v>
      </c>
      <c r="D30" s="26" t="n"/>
    </row>
    <row r="31">
      <c r="A31" s="22" t="n">
        <v>27</v>
      </c>
      <c r="B31" s="7" t="inlineStr">
        <is>
          <t>Initial Marketing Launch</t>
        </is>
      </c>
      <c r="C31" s="23" t="n">
        <v>0</v>
      </c>
      <c r="D31" s="24" t="n"/>
    </row>
    <row r="32">
      <c r="A32" s="25" t="n">
        <v>28</v>
      </c>
      <c r="B32" s="10" t="inlineStr">
        <is>
          <t>Transportation / Delivery Setup</t>
        </is>
      </c>
      <c r="C32" s="23" t="n">
        <v>0</v>
      </c>
      <c r="D32" s="26" t="n"/>
    </row>
    <row r="33">
      <c r="A33" s="22" t="n">
        <v>29</v>
      </c>
      <c r="B33" s="7" t="inlineStr">
        <is>
          <t>Miscellaneous / Contingency</t>
        </is>
      </c>
      <c r="C33" s="23" t="n">
        <v>0</v>
      </c>
      <c r="D33" s="24" t="n"/>
    </row>
    <row r="34"/>
    <row r="35">
      <c r="A35" s="27" t="n"/>
      <c r="B35" s="28" t="inlineStr">
        <is>
          <t>TOTAL STARTUP COST</t>
        </is>
      </c>
      <c r="C35" s="29">
        <f>SUM(C5:C33)</f>
        <v/>
      </c>
      <c r="D35" s="27" t="n"/>
    </row>
    <row r="36"/>
    <row r="37">
      <c r="A37" s="11" t="inlineStr">
        <is>
          <t>Legend: Yellow cells are editable inputs. Enter your actual quotes/estimates in EGP; the total updates automatically. Add rows above the total row as needed for future expansion.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:D1"/>
    <mergeCell ref="A2:D2"/>
  </mergeCells>
  <conditionalFormatting sqref="C5:C33">
    <cfRule type="cellIs" priority="1" operator="equal" dxfId="0">
      <formula>0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2E5395"/>
    <outlinePr summaryBelow="1" summaryRight="1"/>
    <pageSetUpPr fitToPage="1"/>
  </sheetPr>
  <dimension ref="A1:D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34" customWidth="1" min="4" max="4"/>
  </cols>
  <sheetData>
    <row r="1" ht="32" customHeight="1">
      <c r="A1" s="12" t="inlineStr">
        <is>
          <t>MONTHLY OPERATING EXPENSES</t>
        </is>
      </c>
      <c r="B1" s="2" t="n"/>
      <c r="C1" s="2" t="n"/>
      <c r="D1" s="2" t="n"/>
    </row>
    <row r="2" ht="16" customHeight="1">
      <c r="A2" s="13" t="inlineStr">
        <is>
          <t>Recurring fixed &amp; variable monthly costs (EGP)</t>
        </is>
      </c>
      <c r="B2" s="2" t="n"/>
      <c r="C2" s="2" t="n"/>
      <c r="D2" s="2" t="n"/>
    </row>
    <row r="3"/>
    <row r="4" ht="30" customHeight="1">
      <c r="A4" s="4" t="inlineStr">
        <is>
          <t>#</t>
        </is>
      </c>
      <c r="B4" s="4" t="inlineStr">
        <is>
          <t>Expense Category</t>
        </is>
      </c>
      <c r="C4" s="4" t="inlineStr">
        <is>
          <t>Amount (EGP) / Month</t>
        </is>
      </c>
      <c r="D4" s="4" t="inlineStr">
        <is>
          <t>Notes</t>
        </is>
      </c>
    </row>
    <row r="5">
      <c r="A5" s="22" t="n">
        <v>1</v>
      </c>
      <c r="B5" s="7" t="inlineStr">
        <is>
          <t>Rent</t>
        </is>
      </c>
      <c r="C5" s="23" t="n">
        <v>0</v>
      </c>
      <c r="D5" s="24" t="n"/>
    </row>
    <row r="6">
      <c r="A6" s="25" t="n">
        <v>2</v>
      </c>
      <c r="B6" s="10" t="inlineStr">
        <is>
          <t>Employee Salaries</t>
        </is>
      </c>
      <c r="C6" s="23" t="n">
        <v>0</v>
      </c>
      <c r="D6" s="26" t="n"/>
    </row>
    <row r="7">
      <c r="A7" s="22" t="n">
        <v>3</v>
      </c>
      <c r="B7" s="7" t="inlineStr">
        <is>
          <t>Electricity</t>
        </is>
      </c>
      <c r="C7" s="23" t="n">
        <v>0</v>
      </c>
      <c r="D7" s="24" t="n"/>
    </row>
    <row r="8">
      <c r="A8" s="25" t="n">
        <v>4</v>
      </c>
      <c r="B8" s="10" t="inlineStr">
        <is>
          <t>Water</t>
        </is>
      </c>
      <c r="C8" s="23" t="n">
        <v>0</v>
      </c>
      <c r="D8" s="26" t="n"/>
    </row>
    <row r="9">
      <c r="A9" s="22" t="n">
        <v>5</v>
      </c>
      <c r="B9" s="7" t="inlineStr">
        <is>
          <t>Internet</t>
        </is>
      </c>
      <c r="C9" s="23" t="n">
        <v>0</v>
      </c>
      <c r="D9" s="24" t="n"/>
    </row>
    <row r="10">
      <c r="A10" s="25" t="n">
        <v>6</v>
      </c>
      <c r="B10" s="10" t="inlineStr">
        <is>
          <t>Cleaning</t>
        </is>
      </c>
      <c r="C10" s="23" t="n">
        <v>0</v>
      </c>
      <c r="D10" s="26" t="n"/>
    </row>
    <row r="11">
      <c r="A11" s="22" t="n">
        <v>7</v>
      </c>
      <c r="B11" s="7" t="inlineStr">
        <is>
          <t>Packaging Materials</t>
        </is>
      </c>
      <c r="C11" s="23" t="n">
        <v>0</v>
      </c>
      <c r="D11" s="24" t="n"/>
    </row>
    <row r="12">
      <c r="A12" s="25" t="n">
        <v>8</v>
      </c>
      <c r="B12" s="10" t="inlineStr">
        <is>
          <t>Transportation</t>
        </is>
      </c>
      <c r="C12" s="23" t="n">
        <v>0</v>
      </c>
      <c r="D12" s="26" t="n"/>
    </row>
    <row r="13">
      <c r="A13" s="22" t="n">
        <v>9</v>
      </c>
      <c r="B13" s="7" t="inlineStr">
        <is>
          <t>Maintenance</t>
        </is>
      </c>
      <c r="C13" s="23" t="n">
        <v>0</v>
      </c>
      <c r="D13" s="24" t="n"/>
    </row>
    <row r="14">
      <c r="A14" s="25" t="n">
        <v>10</v>
      </c>
      <c r="B14" s="10" t="inlineStr">
        <is>
          <t>Taxes</t>
        </is>
      </c>
      <c r="C14" s="23" t="n">
        <v>0</v>
      </c>
      <c r="D14" s="26" t="n"/>
    </row>
    <row r="15">
      <c r="A15" s="22" t="n">
        <v>11</v>
      </c>
      <c r="B15" s="7" t="inlineStr">
        <is>
          <t>Marketing</t>
        </is>
      </c>
      <c r="C15" s="23" t="n">
        <v>0</v>
      </c>
      <c r="D15" s="24" t="n"/>
    </row>
    <row r="16">
      <c r="A16" s="25" t="n">
        <v>12</v>
      </c>
      <c r="B16" s="10" t="inlineStr">
        <is>
          <t>Unexpected Expenses</t>
        </is>
      </c>
      <c r="C16" s="23" t="n">
        <v>0</v>
      </c>
      <c r="D16" s="26" t="n"/>
    </row>
    <row r="17">
      <c r="A17" s="22" t="n">
        <v>13</v>
      </c>
      <c r="B17" s="7" t="inlineStr">
        <is>
          <t>Other Expenses</t>
        </is>
      </c>
      <c r="C17" s="23" t="n">
        <v>0</v>
      </c>
      <c r="D17" s="24" t="n"/>
    </row>
    <row r="18"/>
    <row r="19">
      <c r="A19" s="27" t="n"/>
      <c r="B19" s="28" t="inlineStr">
        <is>
          <t>TOTAL MONTHLY EXPENSES</t>
        </is>
      </c>
      <c r="C19" s="29">
        <f>SUM(C5:C17)</f>
        <v/>
      </c>
      <c r="D19" s="27" t="n"/>
    </row>
    <row r="20"/>
    <row r="21">
      <c r="A21" s="11" t="inlineStr">
        <is>
          <t>Legend: Yellow cells are editable inputs. This monthly total feeds the Cash Flow, P&amp;L and Break-Even sheets automatically.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:D1"/>
    <mergeCell ref="A2:D2"/>
  </mergeCells>
  <conditionalFormatting sqref="C5:C17">
    <cfRule type="cellIs" priority="1" operator="equal" dxfId="0">
      <formula>0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2E5395"/>
    <outlinePr summaryBelow="1" summaryRight="1"/>
    <pageSetUpPr fitToPage="1"/>
  </sheetPr>
  <dimension ref="A1:Q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4" customWidth="1" min="5" max="5"/>
    <col width="14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9" customWidth="1" min="12" max="12"/>
    <col width="8" customWidth="1" min="13" max="13"/>
    <col width="10" customWidth="1" min="14" max="14"/>
    <col width="13" customWidth="1" min="15" max="15"/>
    <col width="12" customWidth="1" min="16" max="16"/>
    <col width="16" customWidth="1" min="17" max="17"/>
  </cols>
  <sheetData>
    <row r="1" ht="32" customHeight="1">
      <c r="A1" s="12" t="inlineStr">
        <is>
          <t>INVENTORY PURCHASE PLAN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6" customHeight="1">
      <c r="A2" s="13" t="inlineStr">
        <is>
          <t>Initial stock order plan across suppliers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/>
    <row r="4" ht="30" customHeight="1">
      <c r="A4" s="4" t="inlineStr">
        <is>
          <t>Supplier</t>
        </is>
      </c>
      <c r="B4" s="4" t="inlineStr">
        <is>
          <t>Factory</t>
        </is>
      </c>
      <c r="C4" s="4" t="inlineStr">
        <is>
          <t>Category</t>
        </is>
      </c>
      <c r="D4" s="4" t="inlineStr">
        <is>
          <t>Gender</t>
        </is>
      </c>
      <c r="E4" s="4" t="inlineStr">
        <is>
          <t>Product Type</t>
        </is>
      </c>
      <c r="F4" s="4" t="inlineStr">
        <is>
          <t>Model Name</t>
        </is>
      </c>
      <c r="G4" s="4" t="inlineStr">
        <is>
          <t>Color</t>
        </is>
      </c>
      <c r="H4" s="4" t="inlineStr">
        <is>
          <t>Size Range</t>
        </is>
      </c>
      <c r="I4" s="4" t="inlineStr">
        <is>
          <t>Cost Price</t>
        </is>
      </c>
      <c r="J4" s="4" t="inlineStr">
        <is>
          <t>Selling Price</t>
        </is>
      </c>
      <c r="K4" s="4" t="inlineStr">
        <is>
          <t>Expected Profit</t>
        </is>
      </c>
      <c r="L4" s="4" t="inlineStr">
        <is>
          <t>Quantity</t>
        </is>
      </c>
      <c r="M4" s="4" t="inlineStr">
        <is>
          <t>Cartons</t>
        </is>
      </c>
      <c r="N4" s="4" t="inlineStr">
        <is>
          <t>Pieces/Carton</t>
        </is>
      </c>
      <c r="O4" s="4" t="inlineStr">
        <is>
          <t>Total Cost</t>
        </is>
      </c>
      <c r="P4" s="4" t="inlineStr">
        <is>
          <t>Barcode</t>
        </is>
      </c>
      <c r="Q4" s="4" t="inlineStr">
        <is>
          <t>Notes</t>
        </is>
      </c>
    </row>
    <row r="5">
      <c r="A5" s="30" t="inlineStr">
        <is>
          <t>Al-Nour Shoes Factory</t>
        </is>
      </c>
      <c r="B5" s="30" t="inlineStr">
        <is>
          <t>Al-Nour Factory</t>
        </is>
      </c>
      <c r="C5" s="30" t="inlineStr">
        <is>
          <t>Casual</t>
        </is>
      </c>
      <c r="D5" s="30" t="inlineStr">
        <is>
          <t>Men</t>
        </is>
      </c>
      <c r="E5" s="30" t="inlineStr">
        <is>
          <t>Sneaker</t>
        </is>
      </c>
      <c r="F5" s="30" t="inlineStr">
        <is>
          <t>Model AN-101</t>
        </is>
      </c>
      <c r="G5" s="30" t="inlineStr">
        <is>
          <t>Black</t>
        </is>
      </c>
      <c r="H5" s="30" t="inlineStr">
        <is>
          <t>40-45</t>
        </is>
      </c>
      <c r="I5" s="31" t="n">
        <v>250</v>
      </c>
      <c r="J5" s="31" t="n">
        <v>420</v>
      </c>
      <c r="K5" s="32">
        <f>IF(J5="","",J5-I5)</f>
        <v/>
      </c>
      <c r="L5" s="33" t="n">
        <v>120</v>
      </c>
      <c r="M5" s="33" t="n">
        <v>10</v>
      </c>
      <c r="N5" s="33" t="n">
        <v>12</v>
      </c>
      <c r="O5" s="32">
        <f>IF(L5="","",I5*L5)</f>
        <v/>
      </c>
      <c r="P5" s="30" t="inlineStr">
        <is>
          <t>6221000000015</t>
        </is>
      </c>
      <c r="Q5" s="30" t="inlineStr">
        <is>
          <t>Example row - overwrite with real data</t>
        </is>
      </c>
    </row>
    <row r="6">
      <c r="A6" s="30" t="n"/>
      <c r="B6" s="30" t="n"/>
      <c r="C6" s="30" t="n"/>
      <c r="D6" s="30" t="n"/>
      <c r="E6" s="30" t="n"/>
      <c r="F6" s="30" t="n"/>
      <c r="G6" s="30" t="n"/>
      <c r="H6" s="30" t="n"/>
      <c r="I6" s="31" t="n"/>
      <c r="J6" s="31" t="n"/>
      <c r="K6" s="32">
        <f>IF(J6="","",J6-I6)</f>
        <v/>
      </c>
      <c r="L6" s="33" t="n"/>
      <c r="M6" s="33" t="n"/>
      <c r="N6" s="33" t="n"/>
      <c r="O6" s="32">
        <f>IF(L6="","",I6*L6)</f>
        <v/>
      </c>
      <c r="P6" s="30" t="n"/>
      <c r="Q6" s="30" t="n"/>
    </row>
    <row r="7">
      <c r="A7" s="30" t="n"/>
      <c r="B7" s="30" t="n"/>
      <c r="C7" s="30" t="n"/>
      <c r="D7" s="30" t="n"/>
      <c r="E7" s="30" t="n"/>
      <c r="F7" s="30" t="n"/>
      <c r="G7" s="30" t="n"/>
      <c r="H7" s="30" t="n"/>
      <c r="I7" s="31" t="n"/>
      <c r="J7" s="31" t="n"/>
      <c r="K7" s="32">
        <f>IF(J7="","",J7-I7)</f>
        <v/>
      </c>
      <c r="L7" s="33" t="n"/>
      <c r="M7" s="33" t="n"/>
      <c r="N7" s="33" t="n"/>
      <c r="O7" s="32">
        <f>IF(L7="","",I7*L7)</f>
        <v/>
      </c>
      <c r="P7" s="30" t="n"/>
      <c r="Q7" s="30" t="n"/>
    </row>
    <row r="8">
      <c r="A8" s="30" t="n"/>
      <c r="B8" s="30" t="n"/>
      <c r="C8" s="30" t="n"/>
      <c r="D8" s="30" t="n"/>
      <c r="E8" s="30" t="n"/>
      <c r="F8" s="30" t="n"/>
      <c r="G8" s="30" t="n"/>
      <c r="H8" s="30" t="n"/>
      <c r="I8" s="31" t="n"/>
      <c r="J8" s="31" t="n"/>
      <c r="K8" s="32">
        <f>IF(J8="","",J8-I8)</f>
        <v/>
      </c>
      <c r="L8" s="33" t="n"/>
      <c r="M8" s="33" t="n"/>
      <c r="N8" s="33" t="n"/>
      <c r="O8" s="32">
        <f>IF(L8="","",I8*L8)</f>
        <v/>
      </c>
      <c r="P8" s="30" t="n"/>
      <c r="Q8" s="30" t="n"/>
    </row>
    <row r="9">
      <c r="A9" s="30" t="n"/>
      <c r="B9" s="30" t="n"/>
      <c r="C9" s="30" t="n"/>
      <c r="D9" s="30" t="n"/>
      <c r="E9" s="30" t="n"/>
      <c r="F9" s="30" t="n"/>
      <c r="G9" s="30" t="n"/>
      <c r="H9" s="30" t="n"/>
      <c r="I9" s="31" t="n"/>
      <c r="J9" s="31" t="n"/>
      <c r="K9" s="32">
        <f>IF(J9="","",J9-I9)</f>
        <v/>
      </c>
      <c r="L9" s="33" t="n"/>
      <c r="M9" s="33" t="n"/>
      <c r="N9" s="33" t="n"/>
      <c r="O9" s="32">
        <f>IF(L9="","",I9*L9)</f>
        <v/>
      </c>
      <c r="P9" s="30" t="n"/>
      <c r="Q9" s="30" t="n"/>
    </row>
    <row r="10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1" t="n"/>
      <c r="J10" s="31" t="n"/>
      <c r="K10" s="32">
        <f>IF(J10="","",J10-I10)</f>
        <v/>
      </c>
      <c r="L10" s="33" t="n"/>
      <c r="M10" s="33" t="n"/>
      <c r="N10" s="33" t="n"/>
      <c r="O10" s="32">
        <f>IF(L10="","",I10*L10)</f>
        <v/>
      </c>
      <c r="P10" s="30" t="n"/>
      <c r="Q10" s="30" t="n"/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1" t="n"/>
      <c r="J11" s="31" t="n"/>
      <c r="K11" s="32">
        <f>IF(J11="","",J11-I11)</f>
        <v/>
      </c>
      <c r="L11" s="33" t="n"/>
      <c r="M11" s="33" t="n"/>
      <c r="N11" s="33" t="n"/>
      <c r="O11" s="32">
        <f>IF(L11="","",I11*L11)</f>
        <v/>
      </c>
      <c r="P11" s="30" t="n"/>
      <c r="Q11" s="30" t="n"/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1" t="n"/>
      <c r="J12" s="31" t="n"/>
      <c r="K12" s="32">
        <f>IF(J12="","",J12-I12)</f>
        <v/>
      </c>
      <c r="L12" s="33" t="n"/>
      <c r="M12" s="33" t="n"/>
      <c r="N12" s="33" t="n"/>
      <c r="O12" s="32">
        <f>IF(L12="","",I12*L12)</f>
        <v/>
      </c>
      <c r="P12" s="30" t="n"/>
      <c r="Q12" s="30" t="n"/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1" t="n"/>
      <c r="J13" s="31" t="n"/>
      <c r="K13" s="32">
        <f>IF(J13="","",J13-I13)</f>
        <v/>
      </c>
      <c r="L13" s="33" t="n"/>
      <c r="M13" s="33" t="n"/>
      <c r="N13" s="33" t="n"/>
      <c r="O13" s="32">
        <f>IF(L13="","",I13*L13)</f>
        <v/>
      </c>
      <c r="P13" s="30" t="n"/>
      <c r="Q13" s="30" t="n"/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1" t="n"/>
      <c r="J14" s="31" t="n"/>
      <c r="K14" s="32">
        <f>IF(J14="","",J14-I14)</f>
        <v/>
      </c>
      <c r="L14" s="33" t="n"/>
      <c r="M14" s="33" t="n"/>
      <c r="N14" s="33" t="n"/>
      <c r="O14" s="32">
        <f>IF(L14="","",I14*L14)</f>
        <v/>
      </c>
      <c r="P14" s="30" t="n"/>
      <c r="Q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1" t="n"/>
      <c r="J15" s="31" t="n"/>
      <c r="K15" s="32">
        <f>IF(J15="","",J15-I15)</f>
        <v/>
      </c>
      <c r="L15" s="33" t="n"/>
      <c r="M15" s="33" t="n"/>
      <c r="N15" s="33" t="n"/>
      <c r="O15" s="32">
        <f>IF(L15="","",I15*L15)</f>
        <v/>
      </c>
      <c r="P15" s="30" t="n"/>
      <c r="Q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1" t="n"/>
      <c r="J16" s="31" t="n"/>
      <c r="K16" s="32">
        <f>IF(J16="","",J16-I16)</f>
        <v/>
      </c>
      <c r="L16" s="33" t="n"/>
      <c r="M16" s="33" t="n"/>
      <c r="N16" s="33" t="n"/>
      <c r="O16" s="32">
        <f>IF(L16="","",I16*L16)</f>
        <v/>
      </c>
      <c r="P16" s="30" t="n"/>
      <c r="Q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1" t="n"/>
      <c r="J17" s="31" t="n"/>
      <c r="K17" s="32">
        <f>IF(J17="","",J17-I17)</f>
        <v/>
      </c>
      <c r="L17" s="33" t="n"/>
      <c r="M17" s="33" t="n"/>
      <c r="N17" s="33" t="n"/>
      <c r="O17" s="32">
        <f>IF(L17="","",I17*L17)</f>
        <v/>
      </c>
      <c r="P17" s="30" t="n"/>
      <c r="Q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1" t="n"/>
      <c r="J18" s="31" t="n"/>
      <c r="K18" s="32">
        <f>IF(J18="","",J18-I18)</f>
        <v/>
      </c>
      <c r="L18" s="33" t="n"/>
      <c r="M18" s="33" t="n"/>
      <c r="N18" s="33" t="n"/>
      <c r="O18" s="32">
        <f>IF(L18="","",I18*L18)</f>
        <v/>
      </c>
      <c r="P18" s="30" t="n"/>
      <c r="Q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1" t="n"/>
      <c r="J19" s="31" t="n"/>
      <c r="K19" s="32">
        <f>IF(J19="","",J19-I19)</f>
        <v/>
      </c>
      <c r="L19" s="33" t="n"/>
      <c r="M19" s="33" t="n"/>
      <c r="N19" s="33" t="n"/>
      <c r="O19" s="32">
        <f>IF(L19="","",I19*L19)</f>
        <v/>
      </c>
      <c r="P19" s="30" t="n"/>
      <c r="Q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1" t="n"/>
      <c r="J20" s="31" t="n"/>
      <c r="K20" s="32">
        <f>IF(J20="","",J20-I20)</f>
        <v/>
      </c>
      <c r="L20" s="33" t="n"/>
      <c r="M20" s="33" t="n"/>
      <c r="N20" s="33" t="n"/>
      <c r="O20" s="32">
        <f>IF(L20="","",I20*L20)</f>
        <v/>
      </c>
      <c r="P20" s="30" t="n"/>
      <c r="Q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1" t="n"/>
      <c r="J21" s="31" t="n"/>
      <c r="K21" s="32">
        <f>IF(J21="","",J21-I21)</f>
        <v/>
      </c>
      <c r="L21" s="33" t="n"/>
      <c r="M21" s="33" t="n"/>
      <c r="N21" s="33" t="n"/>
      <c r="O21" s="32">
        <f>IF(L21="","",I21*L21)</f>
        <v/>
      </c>
      <c r="P21" s="30" t="n"/>
      <c r="Q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1" t="n"/>
      <c r="J22" s="31" t="n"/>
      <c r="K22" s="32">
        <f>IF(J22="","",J22-I22)</f>
        <v/>
      </c>
      <c r="L22" s="33" t="n"/>
      <c r="M22" s="33" t="n"/>
      <c r="N22" s="33" t="n"/>
      <c r="O22" s="32">
        <f>IF(L22="","",I22*L22)</f>
        <v/>
      </c>
      <c r="P22" s="30" t="n"/>
      <c r="Q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1" t="n"/>
      <c r="J23" s="31" t="n"/>
      <c r="K23" s="32">
        <f>IF(J23="","",J23-I23)</f>
        <v/>
      </c>
      <c r="L23" s="33" t="n"/>
      <c r="M23" s="33" t="n"/>
      <c r="N23" s="33" t="n"/>
      <c r="O23" s="32">
        <f>IF(L23="","",I23*L23)</f>
        <v/>
      </c>
      <c r="P23" s="30" t="n"/>
      <c r="Q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1" t="n"/>
      <c r="J24" s="31" t="n"/>
      <c r="K24" s="32">
        <f>IF(J24="","",J24-I24)</f>
        <v/>
      </c>
      <c r="L24" s="33" t="n"/>
      <c r="M24" s="33" t="n"/>
      <c r="N24" s="33" t="n"/>
      <c r="O24" s="32">
        <f>IF(L24="","",I24*L24)</f>
        <v/>
      </c>
      <c r="P24" s="30" t="n"/>
      <c r="Q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1" t="n"/>
      <c r="J25" s="31" t="n"/>
      <c r="K25" s="32">
        <f>IF(J25="","",J25-I25)</f>
        <v/>
      </c>
      <c r="L25" s="33" t="n"/>
      <c r="M25" s="33" t="n"/>
      <c r="N25" s="33" t="n"/>
      <c r="O25" s="32">
        <f>IF(L25="","",I25*L25)</f>
        <v/>
      </c>
      <c r="P25" s="30" t="n"/>
      <c r="Q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1" t="n"/>
      <c r="J26" s="31" t="n"/>
      <c r="K26" s="32">
        <f>IF(J26="","",J26-I26)</f>
        <v/>
      </c>
      <c r="L26" s="33" t="n"/>
      <c r="M26" s="33" t="n"/>
      <c r="N26" s="33" t="n"/>
      <c r="O26" s="32">
        <f>IF(L26="","",I26*L26)</f>
        <v/>
      </c>
      <c r="P26" s="30" t="n"/>
      <c r="Q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1" t="n"/>
      <c r="J27" s="31" t="n"/>
      <c r="K27" s="32">
        <f>IF(J27="","",J27-I27)</f>
        <v/>
      </c>
      <c r="L27" s="33" t="n"/>
      <c r="M27" s="33" t="n"/>
      <c r="N27" s="33" t="n"/>
      <c r="O27" s="32">
        <f>IF(L27="","",I27*L27)</f>
        <v/>
      </c>
      <c r="P27" s="30" t="n"/>
      <c r="Q27" s="30" t="n"/>
    </row>
    <row r="28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1" t="n"/>
      <c r="J28" s="31" t="n"/>
      <c r="K28" s="32">
        <f>IF(J28="","",J28-I28)</f>
        <v/>
      </c>
      <c r="L28" s="33" t="n"/>
      <c r="M28" s="33" t="n"/>
      <c r="N28" s="33" t="n"/>
      <c r="O28" s="32">
        <f>IF(L28="","",I28*L28)</f>
        <v/>
      </c>
      <c r="P28" s="30" t="n"/>
      <c r="Q28" s="30" t="n"/>
    </row>
    <row r="2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1" t="n"/>
      <c r="J29" s="31" t="n"/>
      <c r="K29" s="32">
        <f>IF(J29="","",J29-I29)</f>
        <v/>
      </c>
      <c r="L29" s="33" t="n"/>
      <c r="M29" s="33" t="n"/>
      <c r="N29" s="33" t="n"/>
      <c r="O29" s="32">
        <f>IF(L29="","",I29*L29)</f>
        <v/>
      </c>
      <c r="P29" s="30" t="n"/>
      <c r="Q29" s="30" t="n"/>
    </row>
    <row r="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1" t="n"/>
      <c r="J30" s="31" t="n"/>
      <c r="K30" s="32">
        <f>IF(J30="","",J30-I30)</f>
        <v/>
      </c>
      <c r="L30" s="33" t="n"/>
      <c r="M30" s="33" t="n"/>
      <c r="N30" s="33" t="n"/>
      <c r="O30" s="32">
        <f>IF(L30="","",I30*L30)</f>
        <v/>
      </c>
      <c r="P30" s="30" t="n"/>
      <c r="Q30" s="30" t="n"/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1" t="n"/>
      <c r="J31" s="31" t="n"/>
      <c r="K31" s="32">
        <f>IF(J31="","",J31-I31)</f>
        <v/>
      </c>
      <c r="L31" s="33" t="n"/>
      <c r="M31" s="33" t="n"/>
      <c r="N31" s="33" t="n"/>
      <c r="O31" s="32">
        <f>IF(L31="","",I31*L31)</f>
        <v/>
      </c>
      <c r="P31" s="30" t="n"/>
      <c r="Q31" s="30" t="n"/>
    </row>
    <row r="32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1" t="n"/>
      <c r="J32" s="31" t="n"/>
      <c r="K32" s="32">
        <f>IF(J32="","",J32-I32)</f>
        <v/>
      </c>
      <c r="L32" s="33" t="n"/>
      <c r="M32" s="33" t="n"/>
      <c r="N32" s="33" t="n"/>
      <c r="O32" s="32">
        <f>IF(L32="","",I32*L32)</f>
        <v/>
      </c>
      <c r="P32" s="30" t="n"/>
      <c r="Q32" s="30" t="n"/>
    </row>
    <row r="33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1" t="n"/>
      <c r="J33" s="31" t="n"/>
      <c r="K33" s="32">
        <f>IF(J33="","",J33-I33)</f>
        <v/>
      </c>
      <c r="L33" s="33" t="n"/>
      <c r="M33" s="33" t="n"/>
      <c r="N33" s="33" t="n"/>
      <c r="O33" s="32">
        <f>IF(L33="","",I33*L33)</f>
        <v/>
      </c>
      <c r="P33" s="30" t="n"/>
      <c r="Q33" s="30" t="n"/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1" t="n"/>
      <c r="J34" s="31" t="n"/>
      <c r="K34" s="32">
        <f>IF(J34="","",J34-I34)</f>
        <v/>
      </c>
      <c r="L34" s="33" t="n"/>
      <c r="M34" s="33" t="n"/>
      <c r="N34" s="33" t="n"/>
      <c r="O34" s="32">
        <f>IF(L34="","",I34*L34)</f>
        <v/>
      </c>
      <c r="P34" s="30" t="n"/>
      <c r="Q34" s="30" t="n"/>
    </row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1" t="n"/>
      <c r="J35" s="31" t="n"/>
      <c r="K35" s="32">
        <f>IF(J35="","",J35-I35)</f>
        <v/>
      </c>
      <c r="L35" s="33" t="n"/>
      <c r="M35" s="33" t="n"/>
      <c r="N35" s="33" t="n"/>
      <c r="O35" s="32">
        <f>IF(L35="","",I35*L35)</f>
        <v/>
      </c>
      <c r="P35" s="30" t="n"/>
      <c r="Q35" s="30" t="n"/>
    </row>
    <row r="3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1" t="n"/>
      <c r="J36" s="31" t="n"/>
      <c r="K36" s="32">
        <f>IF(J36="","",J36-I36)</f>
        <v/>
      </c>
      <c r="L36" s="33" t="n"/>
      <c r="M36" s="33" t="n"/>
      <c r="N36" s="33" t="n"/>
      <c r="O36" s="32">
        <f>IF(L36="","",I36*L36)</f>
        <v/>
      </c>
      <c r="P36" s="30" t="n"/>
      <c r="Q36" s="30" t="n"/>
    </row>
    <row r="37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1" t="n"/>
      <c r="J37" s="31" t="n"/>
      <c r="K37" s="32">
        <f>IF(J37="","",J37-I37)</f>
        <v/>
      </c>
      <c r="L37" s="33" t="n"/>
      <c r="M37" s="33" t="n"/>
      <c r="N37" s="33" t="n"/>
      <c r="O37" s="32">
        <f>IF(L37="","",I37*L37)</f>
        <v/>
      </c>
      <c r="P37" s="30" t="n"/>
      <c r="Q37" s="30" t="n"/>
    </row>
    <row r="38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1" t="n"/>
      <c r="J38" s="31" t="n"/>
      <c r="K38" s="32">
        <f>IF(J38="","",J38-I38)</f>
        <v/>
      </c>
      <c r="L38" s="33" t="n"/>
      <c r="M38" s="33" t="n"/>
      <c r="N38" s="33" t="n"/>
      <c r="O38" s="32">
        <f>IF(L38="","",I38*L38)</f>
        <v/>
      </c>
      <c r="P38" s="30" t="n"/>
      <c r="Q38" s="30" t="n"/>
    </row>
    <row r="39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1" t="n"/>
      <c r="J39" s="31" t="n"/>
      <c r="K39" s="32">
        <f>IF(J39="","",J39-I39)</f>
        <v/>
      </c>
      <c r="L39" s="33" t="n"/>
      <c r="M39" s="33" t="n"/>
      <c r="N39" s="33" t="n"/>
      <c r="O39" s="32">
        <f>IF(L39="","",I39*L39)</f>
        <v/>
      </c>
      <c r="P39" s="30" t="n"/>
      <c r="Q39" s="30" t="n"/>
    </row>
    <row r="40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1" t="n"/>
      <c r="J40" s="31" t="n"/>
      <c r="K40" s="32">
        <f>IF(J40="","",J40-I40)</f>
        <v/>
      </c>
      <c r="L40" s="33" t="n"/>
      <c r="M40" s="33" t="n"/>
      <c r="N40" s="33" t="n"/>
      <c r="O40" s="32">
        <f>IF(L40="","",I40*L40)</f>
        <v/>
      </c>
      <c r="P40" s="30" t="n"/>
      <c r="Q40" s="30" t="n"/>
    </row>
    <row r="4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1" t="n"/>
      <c r="J41" s="31" t="n"/>
      <c r="K41" s="32">
        <f>IF(J41="","",J41-I41)</f>
        <v/>
      </c>
      <c r="L41" s="33" t="n"/>
      <c r="M41" s="33" t="n"/>
      <c r="N41" s="33" t="n"/>
      <c r="O41" s="32">
        <f>IF(L41="","",I41*L41)</f>
        <v/>
      </c>
      <c r="P41" s="30" t="n"/>
      <c r="Q41" s="30" t="n"/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1" t="n"/>
      <c r="J42" s="31" t="n"/>
      <c r="K42" s="32">
        <f>IF(J42="","",J42-I42)</f>
        <v/>
      </c>
      <c r="L42" s="33" t="n"/>
      <c r="M42" s="33" t="n"/>
      <c r="N42" s="33" t="n"/>
      <c r="O42" s="32">
        <f>IF(L42="","",I42*L42)</f>
        <v/>
      </c>
      <c r="P42" s="30" t="n"/>
      <c r="Q42" s="30" t="n"/>
    </row>
    <row r="43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1" t="n"/>
      <c r="J43" s="31" t="n"/>
      <c r="K43" s="32">
        <f>IF(J43="","",J43-I43)</f>
        <v/>
      </c>
      <c r="L43" s="33" t="n"/>
      <c r="M43" s="33" t="n"/>
      <c r="N43" s="33" t="n"/>
      <c r="O43" s="32">
        <f>IF(L43="","",I43*L43)</f>
        <v/>
      </c>
      <c r="P43" s="30" t="n"/>
      <c r="Q43" s="30" t="n"/>
    </row>
    <row r="44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1" t="n"/>
      <c r="J44" s="31" t="n"/>
      <c r="K44" s="32">
        <f>IF(J44="","",J44-I44)</f>
        <v/>
      </c>
      <c r="L44" s="33" t="n"/>
      <c r="M44" s="33" t="n"/>
      <c r="N44" s="33" t="n"/>
      <c r="O44" s="32">
        <f>IF(L44="","",I44*L44)</f>
        <v/>
      </c>
      <c r="P44" s="30" t="n"/>
      <c r="Q44" s="30" t="n"/>
    </row>
    <row r="45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1" t="n"/>
      <c r="J45" s="31" t="n"/>
      <c r="K45" s="32">
        <f>IF(J45="","",J45-I45)</f>
        <v/>
      </c>
      <c r="L45" s="33" t="n"/>
      <c r="M45" s="33" t="n"/>
      <c r="N45" s="33" t="n"/>
      <c r="O45" s="32">
        <f>IF(L45="","",I45*L45)</f>
        <v/>
      </c>
      <c r="P45" s="30" t="n"/>
      <c r="Q45" s="30" t="n"/>
    </row>
    <row r="46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1" t="n"/>
      <c r="J46" s="31" t="n"/>
      <c r="K46" s="32">
        <f>IF(J46="","",J46-I46)</f>
        <v/>
      </c>
      <c r="L46" s="33" t="n"/>
      <c r="M46" s="33" t="n"/>
      <c r="N46" s="33" t="n"/>
      <c r="O46" s="32">
        <f>IF(L46="","",I46*L46)</f>
        <v/>
      </c>
      <c r="P46" s="30" t="n"/>
      <c r="Q46" s="30" t="n"/>
    </row>
    <row r="47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1" t="n"/>
      <c r="J47" s="31" t="n"/>
      <c r="K47" s="32">
        <f>IF(J47="","",J47-I47)</f>
        <v/>
      </c>
      <c r="L47" s="33" t="n"/>
      <c r="M47" s="33" t="n"/>
      <c r="N47" s="33" t="n"/>
      <c r="O47" s="32">
        <f>IF(L47="","",I47*L47)</f>
        <v/>
      </c>
      <c r="P47" s="30" t="n"/>
      <c r="Q47" s="30" t="n"/>
    </row>
    <row r="48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1" t="n"/>
      <c r="J48" s="31" t="n"/>
      <c r="K48" s="32">
        <f>IF(J48="","",J48-I48)</f>
        <v/>
      </c>
      <c r="L48" s="33" t="n"/>
      <c r="M48" s="33" t="n"/>
      <c r="N48" s="33" t="n"/>
      <c r="O48" s="32">
        <f>IF(L48="","",I48*L48)</f>
        <v/>
      </c>
      <c r="P48" s="30" t="n"/>
      <c r="Q48" s="30" t="n"/>
    </row>
    <row r="4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1" t="n"/>
      <c r="J49" s="31" t="n"/>
      <c r="K49" s="32">
        <f>IF(J49="","",J49-I49)</f>
        <v/>
      </c>
      <c r="L49" s="33" t="n"/>
      <c r="M49" s="33" t="n"/>
      <c r="N49" s="33" t="n"/>
      <c r="O49" s="32">
        <f>IF(L49="","",I49*L49)</f>
        <v/>
      </c>
      <c r="P49" s="30" t="n"/>
      <c r="Q49" s="30" t="n"/>
    </row>
    <row r="5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1" t="n"/>
      <c r="J50" s="31" t="n"/>
      <c r="K50" s="32">
        <f>IF(J50="","",J50-I50)</f>
        <v/>
      </c>
      <c r="L50" s="33" t="n"/>
      <c r="M50" s="33" t="n"/>
      <c r="N50" s="33" t="n"/>
      <c r="O50" s="32">
        <f>IF(L50="","",I50*L50)</f>
        <v/>
      </c>
      <c r="P50" s="30" t="n"/>
      <c r="Q50" s="30" t="n"/>
    </row>
    <row r="5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1" t="n"/>
      <c r="J51" s="31" t="n"/>
      <c r="K51" s="32">
        <f>IF(J51="","",J51-I51)</f>
        <v/>
      </c>
      <c r="L51" s="33" t="n"/>
      <c r="M51" s="33" t="n"/>
      <c r="N51" s="33" t="n"/>
      <c r="O51" s="32">
        <f>IF(L51="","",I51*L51)</f>
        <v/>
      </c>
      <c r="P51" s="30" t="n"/>
      <c r="Q51" s="30" t="n"/>
    </row>
    <row r="52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1" t="n"/>
      <c r="J52" s="31" t="n"/>
      <c r="K52" s="32">
        <f>IF(J52="","",J52-I52)</f>
        <v/>
      </c>
      <c r="L52" s="33" t="n"/>
      <c r="M52" s="33" t="n"/>
      <c r="N52" s="33" t="n"/>
      <c r="O52" s="32">
        <f>IF(L52="","",I52*L52)</f>
        <v/>
      </c>
      <c r="P52" s="30" t="n"/>
      <c r="Q52" s="30" t="n"/>
    </row>
    <row r="53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1" t="n"/>
      <c r="J53" s="31" t="n"/>
      <c r="K53" s="32">
        <f>IF(J53="","",J53-I53)</f>
        <v/>
      </c>
      <c r="L53" s="33" t="n"/>
      <c r="M53" s="33" t="n"/>
      <c r="N53" s="33" t="n"/>
      <c r="O53" s="32">
        <f>IF(L53="","",I53*L53)</f>
        <v/>
      </c>
      <c r="P53" s="30" t="n"/>
      <c r="Q53" s="30" t="n"/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1" t="n"/>
      <c r="J54" s="31" t="n"/>
      <c r="K54" s="32">
        <f>IF(J54="","",J54-I54)</f>
        <v/>
      </c>
      <c r="L54" s="33" t="n"/>
      <c r="M54" s="33" t="n"/>
      <c r="N54" s="33" t="n"/>
      <c r="O54" s="32">
        <f>IF(L54="","",I54*L54)</f>
        <v/>
      </c>
      <c r="P54" s="30" t="n"/>
      <c r="Q54" s="30" t="n"/>
    </row>
    <row r="55"/>
    <row r="56">
      <c r="H56" s="34" t="inlineStr">
        <is>
          <t>TOTAL INVENTORY INVESTMENT</t>
        </is>
      </c>
      <c r="I56" s="27" t="n"/>
      <c r="J56" s="27" t="n"/>
      <c r="K56" s="27" t="n"/>
      <c r="L56" s="27" t="n"/>
      <c r="M56" s="27" t="n"/>
      <c r="N56" s="27" t="n"/>
      <c r="O56" s="29">
        <f>SUM(O5:O54)</f>
        <v/>
      </c>
    </row>
    <row r="57"/>
    <row r="58">
      <c r="A58" s="11" t="inlineStr">
        <is>
          <t>Legend: Yellow cells are editable inputs. Expected Profit and Total Cost calculate automatically. Row 5 is a sample entry — replace or extend the list below it.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3">
    <mergeCell ref="A2:Q2"/>
    <mergeCell ref="A1:Q1"/>
    <mergeCell ref="H56:N56"/>
  </mergeCells>
  <dataValidations count="2">
    <dataValidation sqref="D5:D54" showDropDown="0" showInputMessage="0" showErrorMessage="0" allowBlank="1" type="list">
      <formula1>"Men,Women,Kids,Unisex"</formula1>
    </dataValidation>
    <dataValidation sqref="C5:C54" showDropDown="0" showInputMessage="0" showErrorMessage="0" allowBlank="1" type="list">
      <formula1>"Casual,Formal,Sports,Sandals,Boots,Slippers"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2E5395"/>
    <outlinePr summaryBelow="1" summaryRight="1"/>
    <pageSetUpPr fitToPage="1"/>
  </sheetPr>
  <dimension ref="A1:K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14" customWidth="1" min="4" max="4"/>
    <col width="14" customWidth="1" min="5" max="5"/>
    <col width="18" customWidth="1" min="6" max="6"/>
    <col width="13" customWidth="1" min="7" max="7"/>
    <col width="16" customWidth="1" min="8" max="8"/>
    <col width="13" customWidth="1" min="9" max="9"/>
    <col width="14" customWidth="1" min="10" max="10"/>
    <col width="26" customWidth="1" min="11" max="11"/>
  </cols>
  <sheetData>
    <row r="1" ht="32" customHeight="1">
      <c r="A1" s="12" t="inlineStr">
        <is>
          <t>SUPPLIER DATABASE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13" t="inlineStr">
        <is>
          <t>Approved / candidate suppliers directory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/>
    <row r="4" ht="30" customHeight="1">
      <c r="A4" s="4" t="inlineStr">
        <is>
          <t>Supplier Name</t>
        </is>
      </c>
      <c r="B4" s="4" t="inlineStr">
        <is>
          <t>Factory</t>
        </is>
      </c>
      <c r="C4" s="4" t="inlineStr">
        <is>
          <t>Address</t>
        </is>
      </c>
      <c r="D4" s="4" t="inlineStr">
        <is>
          <t>Phone</t>
        </is>
      </c>
      <c r="E4" s="4" t="inlineStr">
        <is>
          <t>WhatsApp</t>
        </is>
      </c>
      <c r="F4" s="4" t="inlineStr">
        <is>
          <t>Facebook</t>
        </is>
      </c>
      <c r="G4" s="4" t="inlineStr">
        <is>
          <t>Minimum Order</t>
        </is>
      </c>
      <c r="H4" s="4" t="inlineStr">
        <is>
          <t>Payment Terms</t>
        </is>
      </c>
      <c r="I4" s="4" t="inlineStr">
        <is>
          <t>Delivery Time</t>
        </is>
      </c>
      <c r="J4" s="4" t="inlineStr">
        <is>
          <t>Quality Rating (1-5)</t>
        </is>
      </c>
      <c r="K4" s="4" t="inlineStr">
        <is>
          <t>Personal Notes</t>
        </is>
      </c>
    </row>
    <row r="5">
      <c r="A5" s="30" t="inlineStr">
        <is>
          <t>Al-Nour Shoes Factory</t>
        </is>
      </c>
      <c r="B5" s="30" t="inlineStr">
        <is>
          <t>Al-Nour Factory</t>
        </is>
      </c>
      <c r="C5" s="30" t="inlineStr">
        <is>
          <t>10th of Ramadan City, Egypt</t>
        </is>
      </c>
      <c r="D5" s="30" t="inlineStr">
        <is>
          <t>010xxxxxxxx</t>
        </is>
      </c>
      <c r="E5" s="30" t="inlineStr">
        <is>
          <t>010xxxxxxxx</t>
        </is>
      </c>
      <c r="F5" s="30" t="inlineStr">
        <is>
          <t>facebook.com/alnourshoes</t>
        </is>
      </c>
      <c r="G5" s="30" t="inlineStr">
        <is>
          <t>20 cartons</t>
        </is>
      </c>
      <c r="H5" s="30" t="inlineStr">
        <is>
          <t>50% deposit / 50% on delivery</t>
        </is>
      </c>
      <c r="I5" s="30" t="inlineStr">
        <is>
          <t>7-10 days</t>
        </is>
      </c>
      <c r="J5" s="30" t="n">
        <v>4</v>
      </c>
      <c r="K5" s="30" t="inlineStr">
        <is>
          <t>Example row - reliable, good quality control</t>
        </is>
      </c>
    </row>
    <row r="6">
      <c r="A6" s="30" t="n"/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</row>
    <row r="7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</row>
    <row r="8">
      <c r="A8" s="30" t="n"/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</row>
    <row r="9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</row>
    <row r="10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</row>
    <row r="28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</row>
    <row r="2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</row>
    <row r="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</row>
    <row r="32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</row>
    <row r="33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</row>
    <row r="35"/>
    <row r="36">
      <c r="A36" s="11" t="inlineStr">
        <is>
          <t>Legend: Yellow cells are editable inputs. Quality Rating uses a 1 (poor) to 5 (excellent) scale with automatic color scale formatting.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2:K2"/>
    <mergeCell ref="A1:K1"/>
  </mergeCells>
  <conditionalFormatting sqref="J5:J34">
    <cfRule type="colorScale" priority="1">
      <colorScale>
        <cfvo type="min"/>
        <cfvo type="max"/>
        <color rgb="00F8696B"/>
        <color rgb="0063BE7B"/>
      </colorScale>
    </cfRule>
  </conditionalFormatting>
  <dataValidations count="1">
    <dataValidation sqref="J5:J34" showDropDown="0" showInputMessage="0" showErrorMessage="0" allowBlank="1" type="list">
      <formula1>"1,2,3,4,5"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3" customWidth="1" min="5" max="5"/>
    <col width="40" customWidth="1" min="6" max="6"/>
  </cols>
  <sheetData>
    <row r="1" ht="32" customHeight="1">
      <c r="A1" s="12" t="inlineStr">
        <is>
          <t>SALES FORECAST</t>
        </is>
      </c>
      <c r="B1" s="2" t="n"/>
      <c r="C1" s="2" t="n"/>
      <c r="D1" s="2" t="n"/>
    </row>
    <row r="2" ht="16" customHeight="1">
      <c r="A2" s="13" t="inlineStr">
        <is>
          <t>Three scenarios: Conservative / Expected / Optimistic</t>
        </is>
      </c>
      <c r="B2" s="2" t="n"/>
      <c r="C2" s="2" t="n"/>
      <c r="D2" s="2" t="n"/>
    </row>
    <row r="3"/>
    <row r="4" ht="30" customHeight="1">
      <c r="A4" s="4" t="inlineStr">
        <is>
          <t>Metric</t>
        </is>
      </c>
      <c r="B4" s="4" t="inlineStr">
        <is>
          <t>Conservative</t>
        </is>
      </c>
      <c r="C4" s="4" t="inlineStr">
        <is>
          <t>Expected</t>
        </is>
      </c>
      <c r="D4" s="4" t="inlineStr">
        <is>
          <t>Optimistic</t>
        </is>
      </c>
    </row>
    <row r="5">
      <c r="A5" s="35" t="inlineStr">
        <is>
          <t>Daily Units Sold (input)</t>
        </is>
      </c>
      <c r="B5" s="36" t="n">
        <v>8</v>
      </c>
      <c r="C5" s="36" t="n">
        <v>14</v>
      </c>
      <c r="D5" s="36" t="n">
        <v>22</v>
      </c>
    </row>
    <row r="6">
      <c r="A6" s="15" t="inlineStr">
        <is>
          <t>Average Selling Price (EGP) (input)</t>
        </is>
      </c>
      <c r="B6" s="23" t="n">
        <v>380</v>
      </c>
      <c r="C6" s="23" t="n">
        <v>420</v>
      </c>
      <c r="D6" s="23" t="n">
        <v>460</v>
      </c>
    </row>
    <row r="7">
      <c r="A7" s="35" t="inlineStr">
        <is>
          <t>Average Cost Price (EGP) (input)</t>
        </is>
      </c>
      <c r="B7" s="23" t="n">
        <v>230</v>
      </c>
      <c r="C7" s="23" t="n">
        <v>230</v>
      </c>
      <c r="D7" s="23" t="n">
        <v>230</v>
      </c>
    </row>
    <row r="8">
      <c r="A8" s="15" t="inlineStr">
        <is>
          <t>Weekly Sales (units)</t>
        </is>
      </c>
      <c r="B8" s="37">
        <f>B5*7</f>
        <v/>
      </c>
      <c r="C8" s="37">
        <f>C5*7</f>
        <v/>
      </c>
      <c r="D8" s="37">
        <f>D5*7</f>
        <v/>
      </c>
    </row>
    <row r="9">
      <c r="A9" s="35" t="inlineStr">
        <is>
          <t>Monthly Sales (units)</t>
        </is>
      </c>
      <c r="B9" s="38">
        <f>B5*30</f>
        <v/>
      </c>
      <c r="C9" s="38">
        <f>C5*30</f>
        <v/>
      </c>
      <c r="D9" s="38">
        <f>D5*30</f>
        <v/>
      </c>
    </row>
    <row r="10">
      <c r="A10" s="15" t="inlineStr">
        <is>
          <t>Monthly Revenue (EGP)</t>
        </is>
      </c>
      <c r="B10" s="39">
        <f>B9*B6</f>
        <v/>
      </c>
      <c r="C10" s="39">
        <f>C9*C6</f>
        <v/>
      </c>
      <c r="D10" s="39">
        <f>D9*D6</f>
        <v/>
      </c>
    </row>
    <row r="11">
      <c r="A11" s="35" t="inlineStr">
        <is>
          <t>Monthly COGS (EGP)</t>
        </is>
      </c>
      <c r="B11" s="40">
        <f>B9*B7</f>
        <v/>
      </c>
      <c r="C11" s="40">
        <f>C9*C7</f>
        <v/>
      </c>
      <c r="D11" s="40">
        <f>D9*D7</f>
        <v/>
      </c>
    </row>
    <row r="12">
      <c r="A12" s="15" t="inlineStr">
        <is>
          <t>Monthly Gross Profit (EGP)</t>
        </is>
      </c>
      <c r="B12" s="41">
        <f>B10-B11</f>
        <v/>
      </c>
      <c r="C12" s="41">
        <f>C10-C11</f>
        <v/>
      </c>
      <c r="D12" s="41">
        <f>D10-D11</f>
        <v/>
      </c>
    </row>
    <row r="13">
      <c r="A13" s="35" t="inlineStr">
        <is>
          <t>Gross Margin %</t>
        </is>
      </c>
      <c r="B13" s="42">
        <f>IF(B10=0,0,B12/B10)</f>
        <v/>
      </c>
      <c r="C13" s="42">
        <f>IF(C10=0,0,C12/C10)</f>
        <v/>
      </c>
      <c r="D13" s="42">
        <f>IF(D10=0,0,D12/D10)</f>
        <v/>
      </c>
    </row>
    <row r="14"/>
    <row r="15">
      <c r="A15" s="11" t="inlineStr">
        <is>
          <t>Legend: Yellow cells are editable inputs (daily units, avg. selling price, avg. cost price per scenario). All other figures calculate automatically. Expected scenario drives the Break-Even, Cash Flow, P&amp;L and Final Summary sheets.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:D1"/>
    <mergeCell ref="A2:D2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</cols>
  <sheetData>
    <row r="1" ht="32" customHeight="1">
      <c r="A1" s="12" t="inlineStr">
        <is>
          <t>BREAK-EVEN ANALYSIS</t>
        </is>
      </c>
      <c r="B1" s="2" t="n"/>
    </row>
    <row r="2" ht="16" customHeight="1">
      <c r="A2" s="13" t="inlineStr">
        <is>
          <t>Based on Expected scenario margins &amp; monthly fixed costs</t>
        </is>
      </c>
      <c r="B2" s="2" t="n"/>
    </row>
    <row r="3"/>
    <row r="4" ht="30" customHeight="1">
      <c r="A4" s="4" t="inlineStr">
        <is>
          <t>Metric</t>
        </is>
      </c>
      <c r="B4" s="4" t="inlineStr">
        <is>
          <t>Value</t>
        </is>
      </c>
    </row>
    <row r="5">
      <c r="A5" s="35" t="inlineStr">
        <is>
          <t>Fixed Monthly Costs (EGP)</t>
        </is>
      </c>
      <c r="B5" s="43">
        <f>'Monthly Expenses'!C19</f>
        <v/>
      </c>
    </row>
    <row r="6">
      <c r="A6" s="15" t="inlineStr">
        <is>
          <t>Average Selling Price (EGP)</t>
        </is>
      </c>
      <c r="B6" s="41">
        <f>'Sales Forecast'!C6</f>
        <v/>
      </c>
    </row>
    <row r="7">
      <c r="A7" s="35" t="inlineStr">
        <is>
          <t>Average Cost Price (EGP)</t>
        </is>
      </c>
      <c r="B7" s="43">
        <f>'Sales Forecast'!C7</f>
        <v/>
      </c>
    </row>
    <row r="8">
      <c r="A8" s="15" t="inlineStr">
        <is>
          <t>Contribution Margin per Unit (EGP)</t>
        </is>
      </c>
      <c r="B8" s="39">
        <f>B6-B7</f>
        <v/>
      </c>
    </row>
    <row r="9">
      <c r="A9" s="35" t="inlineStr">
        <is>
          <t>Monthly Break-Even Sales (units)</t>
        </is>
      </c>
      <c r="B9" s="44">
        <f>IF(B8=0,0,B5/B8)</f>
        <v/>
      </c>
    </row>
    <row r="10">
      <c r="A10" s="15" t="inlineStr">
        <is>
          <t>Daily Break-Even Units</t>
        </is>
      </c>
      <c r="B10" s="37">
        <f>B9/30</f>
        <v/>
      </c>
    </row>
    <row r="11">
      <c r="A11" s="35" t="inlineStr">
        <is>
          <t>Required Break-Even Revenue (EGP)</t>
        </is>
      </c>
      <c r="B11" s="45">
        <f>B9*B6</f>
        <v/>
      </c>
    </row>
    <row r="12">
      <c r="A12" s="15" t="inlineStr">
        <is>
          <t>Expected Monthly Unit Sales (units)</t>
        </is>
      </c>
      <c r="B12" s="46">
        <f>'Sales Forecast'!C9</f>
        <v/>
      </c>
    </row>
    <row r="13">
      <c r="A13" s="35" t="inlineStr">
        <is>
          <t>Expected Monthly Revenue (EGP)</t>
        </is>
      </c>
      <c r="B13" s="43">
        <f>'Sales Forecast'!C10</f>
        <v/>
      </c>
    </row>
    <row r="14">
      <c r="A14" s="15" t="inlineStr">
        <is>
          <t>Profit / (Loss) After Break-Even (EGP)</t>
        </is>
      </c>
      <c r="B14" s="41">
        <f>B13-(B12*B7)-B5</f>
        <v/>
      </c>
    </row>
    <row r="15"/>
    <row r="16">
      <c r="A16" s="11" t="inlineStr">
        <is>
          <t>Contribution Margin = Avg. Selling Price − Avg. Cost Price. Break-Even Units = Fixed Costs ÷ Contribution Margin. All values calculate automatically from the Monthly Expenses and Sales Forecast (Expected scenario) sheets.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2:B2"/>
    <mergeCell ref="A1:B1"/>
  </mergeCells>
  <conditionalFormatting sqref="B14">
    <cfRule type="cellIs" priority="1" operator="lessThan" dxfId="1">
      <formula>0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N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 ht="32" customHeight="1">
      <c r="A1" s="12" t="inlineStr">
        <is>
          <t>CASH FLOW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6" customHeight="1">
      <c r="A2" s="13" t="inlineStr">
        <is>
          <t>12-month projection (EGP) — Expected scenario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/>
    <row r="4" ht="30" customHeight="1">
      <c r="A4" s="4" t="inlineStr">
        <is>
          <t>Line Item</t>
        </is>
      </c>
      <c r="B4" s="4" t="inlineStr">
        <is>
          <t>Month 1</t>
        </is>
      </c>
      <c r="C4" s="4" t="inlineStr">
        <is>
          <t>Month 2</t>
        </is>
      </c>
      <c r="D4" s="4" t="inlineStr">
        <is>
          <t>Month 3</t>
        </is>
      </c>
      <c r="E4" s="4" t="inlineStr">
        <is>
          <t>Month 4</t>
        </is>
      </c>
      <c r="F4" s="4" t="inlineStr">
        <is>
          <t>Month 5</t>
        </is>
      </c>
      <c r="G4" s="4" t="inlineStr">
        <is>
          <t>Month 6</t>
        </is>
      </c>
      <c r="H4" s="4" t="inlineStr">
        <is>
          <t>Month 7</t>
        </is>
      </c>
      <c r="I4" s="4" t="inlineStr">
        <is>
          <t>Month 8</t>
        </is>
      </c>
      <c r="J4" s="4" t="inlineStr">
        <is>
          <t>Month 9</t>
        </is>
      </c>
      <c r="K4" s="4" t="inlineStr">
        <is>
          <t>Month 10</t>
        </is>
      </c>
      <c r="L4" s="4" t="inlineStr">
        <is>
          <t>Month 11</t>
        </is>
      </c>
      <c r="M4" s="4" t="inlineStr">
        <is>
          <t>Month 12</t>
        </is>
      </c>
      <c r="N4" s="4" t="inlineStr">
        <is>
          <t>Year Total</t>
        </is>
      </c>
    </row>
    <row r="5">
      <c r="A5" s="47" t="inlineStr">
        <is>
          <t>Opening Cash</t>
        </is>
      </c>
      <c r="B5" s="48">
        <f>('Startup Costs'!C35)+('Inventory Plan'!O56)</f>
        <v/>
      </c>
      <c r="C5" s="49">
        <f>B10</f>
        <v/>
      </c>
      <c r="D5" s="49">
        <f>C10</f>
        <v/>
      </c>
      <c r="E5" s="49">
        <f>D10</f>
        <v/>
      </c>
      <c r="F5" s="49">
        <f>E10</f>
        <v/>
      </c>
      <c r="G5" s="49">
        <f>F10</f>
        <v/>
      </c>
      <c r="H5" s="49">
        <f>G10</f>
        <v/>
      </c>
      <c r="I5" s="49">
        <f>H10</f>
        <v/>
      </c>
      <c r="J5" s="49">
        <f>I10</f>
        <v/>
      </c>
      <c r="K5" s="49">
        <f>J10</f>
        <v/>
      </c>
      <c r="L5" s="49">
        <f>K10</f>
        <v/>
      </c>
      <c r="M5" s="49">
        <f>L10</f>
        <v/>
      </c>
      <c r="N5" s="50">
        <f>B5</f>
        <v/>
      </c>
    </row>
    <row r="6">
      <c r="A6" s="51" t="inlineStr">
        <is>
          <t>Sales (Revenue)</t>
        </is>
      </c>
      <c r="B6" s="50">
        <f>'Sales Forecast'!C10</f>
        <v/>
      </c>
      <c r="C6" s="50">
        <f>'Sales Forecast'!C10</f>
        <v/>
      </c>
      <c r="D6" s="50">
        <f>'Sales Forecast'!C10</f>
        <v/>
      </c>
      <c r="E6" s="50">
        <f>'Sales Forecast'!C10</f>
        <v/>
      </c>
      <c r="F6" s="50">
        <f>'Sales Forecast'!C10</f>
        <v/>
      </c>
      <c r="G6" s="50">
        <f>'Sales Forecast'!C10</f>
        <v/>
      </c>
      <c r="H6" s="50">
        <f>'Sales Forecast'!C10</f>
        <v/>
      </c>
      <c r="I6" s="50">
        <f>'Sales Forecast'!C10</f>
        <v/>
      </c>
      <c r="J6" s="50">
        <f>'Sales Forecast'!C10</f>
        <v/>
      </c>
      <c r="K6" s="50">
        <f>'Sales Forecast'!C10</f>
        <v/>
      </c>
      <c r="L6" s="50">
        <f>'Sales Forecast'!C10</f>
        <v/>
      </c>
      <c r="M6" s="50">
        <f>'Sales Forecast'!C10</f>
        <v/>
      </c>
      <c r="N6" s="50">
        <f>SUM(B6:M6)</f>
        <v/>
      </c>
    </row>
    <row r="7">
      <c r="A7" s="47" t="inlineStr">
        <is>
          <t>Operating Expenses</t>
        </is>
      </c>
      <c r="B7" s="50">
        <f>'Monthly Expenses'!C19</f>
        <v/>
      </c>
      <c r="C7" s="50">
        <f>'Monthly Expenses'!C19</f>
        <v/>
      </c>
      <c r="D7" s="50">
        <f>'Monthly Expenses'!C19</f>
        <v/>
      </c>
      <c r="E7" s="50">
        <f>'Monthly Expenses'!C19</f>
        <v/>
      </c>
      <c r="F7" s="50">
        <f>'Monthly Expenses'!C19</f>
        <v/>
      </c>
      <c r="G7" s="50">
        <f>'Monthly Expenses'!C19</f>
        <v/>
      </c>
      <c r="H7" s="50">
        <f>'Monthly Expenses'!C19</f>
        <v/>
      </c>
      <c r="I7" s="50">
        <f>'Monthly Expenses'!C19</f>
        <v/>
      </c>
      <c r="J7" s="50">
        <f>'Monthly Expenses'!C19</f>
        <v/>
      </c>
      <c r="K7" s="50">
        <f>'Monthly Expenses'!C19</f>
        <v/>
      </c>
      <c r="L7" s="50">
        <f>'Monthly Expenses'!C19</f>
        <v/>
      </c>
      <c r="M7" s="50">
        <f>'Monthly Expenses'!C19</f>
        <v/>
      </c>
      <c r="N7" s="50">
        <f>SUM(B7:M7)</f>
        <v/>
      </c>
    </row>
    <row r="8">
      <c r="A8" s="51" t="inlineStr">
        <is>
          <t>Inventory Purchases</t>
        </is>
      </c>
      <c r="B8" s="48">
        <f>'Inventory Plan'!O56</f>
        <v/>
      </c>
      <c r="C8" s="23" t="n">
        <v>0</v>
      </c>
      <c r="D8" s="23" t="n">
        <v>0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0</v>
      </c>
      <c r="J8" s="23" t="n">
        <v>0</v>
      </c>
      <c r="K8" s="23" t="n">
        <v>0</v>
      </c>
      <c r="L8" s="23" t="n">
        <v>0</v>
      </c>
      <c r="M8" s="23" t="n">
        <v>0</v>
      </c>
      <c r="N8" s="50">
        <f>SUM(B8:M8)</f>
        <v/>
      </c>
    </row>
    <row r="9">
      <c r="A9" s="47" t="inlineStr">
        <is>
          <t>Net Cash Flow</t>
        </is>
      </c>
      <c r="B9" s="39">
        <f>B6-B7-B8</f>
        <v/>
      </c>
      <c r="C9" s="39">
        <f>C6-C7-C8</f>
        <v/>
      </c>
      <c r="D9" s="39">
        <f>D6-D7-D8</f>
        <v/>
      </c>
      <c r="E9" s="39">
        <f>E6-E7-E8</f>
        <v/>
      </c>
      <c r="F9" s="39">
        <f>F6-F7-F8</f>
        <v/>
      </c>
      <c r="G9" s="39">
        <f>G6-G7-G8</f>
        <v/>
      </c>
      <c r="H9" s="39">
        <f>H6-H7-H8</f>
        <v/>
      </c>
      <c r="I9" s="39">
        <f>I6-I7-I8</f>
        <v/>
      </c>
      <c r="J9" s="39">
        <f>J6-J7-J8</f>
        <v/>
      </c>
      <c r="K9" s="39">
        <f>K6-K7-K8</f>
        <v/>
      </c>
      <c r="L9" s="39">
        <f>L6-L7-L8</f>
        <v/>
      </c>
      <c r="M9" s="39">
        <f>M6-M7-M8</f>
        <v/>
      </c>
      <c r="N9" s="39">
        <f>SUM(B9:M9)</f>
        <v/>
      </c>
    </row>
    <row r="10">
      <c r="A10" s="51" t="inlineStr">
        <is>
          <t>Closing Cash</t>
        </is>
      </c>
      <c r="B10" s="41">
        <f>B5+B9</f>
        <v/>
      </c>
      <c r="C10" s="41">
        <f>C5+C9</f>
        <v/>
      </c>
      <c r="D10" s="41">
        <f>D5+D9</f>
        <v/>
      </c>
      <c r="E10" s="41">
        <f>E5+E9</f>
        <v/>
      </c>
      <c r="F10" s="41">
        <f>F5+F9</f>
        <v/>
      </c>
      <c r="G10" s="41">
        <f>G5+G9</f>
        <v/>
      </c>
      <c r="H10" s="41">
        <f>H5+H9</f>
        <v/>
      </c>
      <c r="I10" s="41">
        <f>I5+I9</f>
        <v/>
      </c>
      <c r="J10" s="41">
        <f>J5+J9</f>
        <v/>
      </c>
      <c r="K10" s="41">
        <f>K5+K9</f>
        <v/>
      </c>
      <c r="L10" s="41">
        <f>L5+L9</f>
        <v/>
      </c>
      <c r="M10" s="41">
        <f>M5+M9</f>
        <v/>
      </c>
      <c r="N10" s="39">
        <f>M10</f>
        <v/>
      </c>
    </row>
    <row r="11"/>
    <row r="12">
      <c r="A12" s="11" t="inlineStr">
        <is>
          <t>Opening Cash (Month 1) = Total Startup Cost + Total Inventory Investment (i.e. the capital you need on hand at launch). Sales and Expenses link automatically to the Sales Forecast (Expected) and Monthly Expenses sheets. Month 1 Inventory Purchases links to the Inventory Plan total; edit later months (white cells) if you plan restocking.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2:N2"/>
    <mergeCell ref="A1:N1"/>
  </mergeCells>
  <conditionalFormatting sqref="B10:N10">
    <cfRule type="cellIs" priority="1" operator="lessThan" dxfId="2">
      <formula>0</formula>
    </cfRule>
  </conditionalFormatting>
  <conditionalFormatting sqref="B9:M9">
    <cfRule type="cellIs" priority="2" operator="lessThan" dxfId="3">
      <formula>0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N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 ht="32" customHeight="1">
      <c r="A1" s="12" t="inlineStr">
        <is>
          <t>PROFIT &amp; LOSS STATEMENT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6" customHeight="1">
      <c r="A2" s="13" t="inlineStr">
        <is>
          <t>Monthly &amp; yearly — Expected scenario (EGP)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/>
    <row r="4" ht="30" customHeight="1">
      <c r="A4" s="4" t="inlineStr">
        <is>
          <t>Line Item</t>
        </is>
      </c>
      <c r="B4" s="4" t="inlineStr">
        <is>
          <t>Month 1</t>
        </is>
      </c>
      <c r="C4" s="4" t="inlineStr">
        <is>
          <t>Month 2</t>
        </is>
      </c>
      <c r="D4" s="4" t="inlineStr">
        <is>
          <t>Month 3</t>
        </is>
      </c>
      <c r="E4" s="4" t="inlineStr">
        <is>
          <t>Month 4</t>
        </is>
      </c>
      <c r="F4" s="4" t="inlineStr">
        <is>
          <t>Month 5</t>
        </is>
      </c>
      <c r="G4" s="4" t="inlineStr">
        <is>
          <t>Month 6</t>
        </is>
      </c>
      <c r="H4" s="4" t="inlineStr">
        <is>
          <t>Month 7</t>
        </is>
      </c>
      <c r="I4" s="4" t="inlineStr">
        <is>
          <t>Month 8</t>
        </is>
      </c>
      <c r="J4" s="4" t="inlineStr">
        <is>
          <t>Month 9</t>
        </is>
      </c>
      <c r="K4" s="4" t="inlineStr">
        <is>
          <t>Month 10</t>
        </is>
      </c>
      <c r="L4" s="4" t="inlineStr">
        <is>
          <t>Month 11</t>
        </is>
      </c>
      <c r="M4" s="4" t="inlineStr">
        <is>
          <t>Month 12</t>
        </is>
      </c>
      <c r="N4" s="4" t="inlineStr">
        <is>
          <t>Year Total</t>
        </is>
      </c>
    </row>
    <row r="5">
      <c r="A5" s="47" t="inlineStr">
        <is>
          <t>Revenue</t>
        </is>
      </c>
      <c r="B5" s="50">
        <f>'Sales Forecast'!C10</f>
        <v/>
      </c>
      <c r="C5" s="50">
        <f>'Sales Forecast'!C10</f>
        <v/>
      </c>
      <c r="D5" s="50">
        <f>'Sales Forecast'!C10</f>
        <v/>
      </c>
      <c r="E5" s="50">
        <f>'Sales Forecast'!C10</f>
        <v/>
      </c>
      <c r="F5" s="50">
        <f>'Sales Forecast'!C10</f>
        <v/>
      </c>
      <c r="G5" s="50">
        <f>'Sales Forecast'!C10</f>
        <v/>
      </c>
      <c r="H5" s="50">
        <f>'Sales Forecast'!C10</f>
        <v/>
      </c>
      <c r="I5" s="50">
        <f>'Sales Forecast'!C10</f>
        <v/>
      </c>
      <c r="J5" s="50">
        <f>'Sales Forecast'!C10</f>
        <v/>
      </c>
      <c r="K5" s="50">
        <f>'Sales Forecast'!C10</f>
        <v/>
      </c>
      <c r="L5" s="50">
        <f>'Sales Forecast'!C10</f>
        <v/>
      </c>
      <c r="M5" s="50">
        <f>'Sales Forecast'!C10</f>
        <v/>
      </c>
      <c r="N5" s="39">
        <f>SUM(B5:M5)</f>
        <v/>
      </c>
    </row>
    <row r="6">
      <c r="A6" s="51" t="inlineStr">
        <is>
          <t>COGS</t>
        </is>
      </c>
      <c r="B6" s="50">
        <f>'Sales Forecast'!C11</f>
        <v/>
      </c>
      <c r="C6" s="50">
        <f>'Sales Forecast'!C11</f>
        <v/>
      </c>
      <c r="D6" s="50">
        <f>'Sales Forecast'!C11</f>
        <v/>
      </c>
      <c r="E6" s="50">
        <f>'Sales Forecast'!C11</f>
        <v/>
      </c>
      <c r="F6" s="50">
        <f>'Sales Forecast'!C11</f>
        <v/>
      </c>
      <c r="G6" s="50">
        <f>'Sales Forecast'!C11</f>
        <v/>
      </c>
      <c r="H6" s="50">
        <f>'Sales Forecast'!C11</f>
        <v/>
      </c>
      <c r="I6" s="50">
        <f>'Sales Forecast'!C11</f>
        <v/>
      </c>
      <c r="J6" s="50">
        <f>'Sales Forecast'!C11</f>
        <v/>
      </c>
      <c r="K6" s="50">
        <f>'Sales Forecast'!C11</f>
        <v/>
      </c>
      <c r="L6" s="50">
        <f>'Sales Forecast'!C11</f>
        <v/>
      </c>
      <c r="M6" s="50">
        <f>'Sales Forecast'!C11</f>
        <v/>
      </c>
      <c r="N6" s="39">
        <f>SUM(B6:M6)</f>
        <v/>
      </c>
    </row>
    <row r="7">
      <c r="A7" s="47" t="inlineStr">
        <is>
          <t>Gross Profit</t>
        </is>
      </c>
      <c r="B7" s="41">
        <f>B5-B6</f>
        <v/>
      </c>
      <c r="C7" s="41">
        <f>C5-C6</f>
        <v/>
      </c>
      <c r="D7" s="41">
        <f>D5-D6</f>
        <v/>
      </c>
      <c r="E7" s="41">
        <f>E5-E6</f>
        <v/>
      </c>
      <c r="F7" s="41">
        <f>F5-F6</f>
        <v/>
      </c>
      <c r="G7" s="41">
        <f>G5-G6</f>
        <v/>
      </c>
      <c r="H7" s="41">
        <f>H5-H6</f>
        <v/>
      </c>
      <c r="I7" s="41">
        <f>I5-I6</f>
        <v/>
      </c>
      <c r="J7" s="41">
        <f>J5-J6</f>
        <v/>
      </c>
      <c r="K7" s="41">
        <f>K5-K6</f>
        <v/>
      </c>
      <c r="L7" s="41">
        <f>L5-L6</f>
        <v/>
      </c>
      <c r="M7" s="41">
        <f>M5-M6</f>
        <v/>
      </c>
      <c r="N7" s="39">
        <f>SUM(B7:M7)</f>
        <v/>
      </c>
    </row>
    <row r="8">
      <c r="A8" s="51" t="inlineStr">
        <is>
          <t>Operating Expenses</t>
        </is>
      </c>
      <c r="B8" s="50">
        <f>'Monthly Expenses'!C19</f>
        <v/>
      </c>
      <c r="C8" s="50">
        <f>'Monthly Expenses'!C19</f>
        <v/>
      </c>
      <c r="D8" s="50">
        <f>'Monthly Expenses'!C19</f>
        <v/>
      </c>
      <c r="E8" s="50">
        <f>'Monthly Expenses'!C19</f>
        <v/>
      </c>
      <c r="F8" s="50">
        <f>'Monthly Expenses'!C19</f>
        <v/>
      </c>
      <c r="G8" s="50">
        <f>'Monthly Expenses'!C19</f>
        <v/>
      </c>
      <c r="H8" s="50">
        <f>'Monthly Expenses'!C19</f>
        <v/>
      </c>
      <c r="I8" s="50">
        <f>'Monthly Expenses'!C19</f>
        <v/>
      </c>
      <c r="J8" s="50">
        <f>'Monthly Expenses'!C19</f>
        <v/>
      </c>
      <c r="K8" s="50">
        <f>'Monthly Expenses'!C19</f>
        <v/>
      </c>
      <c r="L8" s="50">
        <f>'Monthly Expenses'!C19</f>
        <v/>
      </c>
      <c r="M8" s="50">
        <f>'Monthly Expenses'!C19</f>
        <v/>
      </c>
      <c r="N8" s="39">
        <f>SUM(B8:M8)</f>
        <v/>
      </c>
    </row>
    <row r="9">
      <c r="A9" s="47" t="inlineStr">
        <is>
          <t>Net Profit</t>
        </is>
      </c>
      <c r="B9" s="39">
        <f>B7-B8</f>
        <v/>
      </c>
      <c r="C9" s="39">
        <f>C7-C8</f>
        <v/>
      </c>
      <c r="D9" s="39">
        <f>D7-D8</f>
        <v/>
      </c>
      <c r="E9" s="39">
        <f>E7-E8</f>
        <v/>
      </c>
      <c r="F9" s="39">
        <f>F7-F8</f>
        <v/>
      </c>
      <c r="G9" s="39">
        <f>G7-G8</f>
        <v/>
      </c>
      <c r="H9" s="39">
        <f>H7-H8</f>
        <v/>
      </c>
      <c r="I9" s="39">
        <f>I7-I8</f>
        <v/>
      </c>
      <c r="J9" s="39">
        <f>J7-J8</f>
        <v/>
      </c>
      <c r="K9" s="39">
        <f>K7-K8</f>
        <v/>
      </c>
      <c r="L9" s="39">
        <f>L7-L8</f>
        <v/>
      </c>
      <c r="M9" s="39">
        <f>M7-M8</f>
        <v/>
      </c>
      <c r="N9" s="39">
        <f>SUM(B9:M9)</f>
        <v/>
      </c>
    </row>
    <row r="10"/>
    <row r="11">
      <c r="A11" s="11" t="inlineStr">
        <is>
          <t>Revenue and COGS link to the Sales Forecast (Expected scenario); Operating Expenses link to the Monthly Expenses sheet. Update those sheets to flow changes through automatically.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2:N2"/>
    <mergeCell ref="A1:N1"/>
  </mergeCells>
  <conditionalFormatting sqref="B9:N9">
    <cfRule type="cellIs" priority="1" operator="lessThan" dxfId="1">
      <formula>0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I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1" customWidth="1" min="4" max="4"/>
    <col width="15" customWidth="1" min="5" max="5"/>
    <col width="12" customWidth="1" min="6" max="6"/>
    <col width="12" customWidth="1" min="7" max="7"/>
    <col width="15" customWidth="1" min="8" max="8"/>
    <col width="24" customWidth="1" min="9" max="9"/>
  </cols>
  <sheetData>
    <row r="1" ht="32" customHeight="1">
      <c r="A1" s="12" t="inlineStr">
        <is>
          <t>INVENTORY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13" t="inlineStr">
        <is>
          <t>Live stock levels &amp; movement classification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/>
    <row r="4" ht="30" customHeight="1">
      <c r="A4" s="4" t="inlineStr">
        <is>
          <t>Model Name</t>
        </is>
      </c>
      <c r="B4" s="4" t="inlineStr">
        <is>
          <t>Category</t>
        </is>
      </c>
      <c r="C4" s="4" t="inlineStr">
        <is>
          <t>Current Stock</t>
        </is>
      </c>
      <c r="D4" s="4" t="inlineStr">
        <is>
          <t>Sold Qty</t>
        </is>
      </c>
      <c r="E4" s="4" t="inlineStr">
        <is>
          <t>Remaining Stock</t>
        </is>
      </c>
      <c r="F4" s="4" t="inlineStr">
        <is>
          <t>Cost Price</t>
        </is>
      </c>
      <c r="G4" s="4" t="inlineStr">
        <is>
          <t>Sale Price</t>
        </is>
      </c>
      <c r="H4" s="4" t="inlineStr">
        <is>
          <t>Movement Status</t>
        </is>
      </c>
      <c r="I4" s="4" t="inlineStr">
        <is>
          <t>Notes</t>
        </is>
      </c>
    </row>
    <row r="5">
      <c r="A5" s="30" t="inlineStr">
        <is>
          <t>Model AN-101 (example)</t>
        </is>
      </c>
      <c r="B5" s="30" t="inlineStr">
        <is>
          <t>Casual</t>
        </is>
      </c>
      <c r="C5" s="33" t="n">
        <v>120</v>
      </c>
      <c r="D5" s="33" t="n">
        <v>45</v>
      </c>
      <c r="E5" s="52">
        <f>IF(C5="","",C5-D5)</f>
        <v/>
      </c>
      <c r="F5" s="31" t="n">
        <v>250</v>
      </c>
      <c r="G5" s="31" t="n">
        <v>420</v>
      </c>
      <c r="H5" s="53">
        <f>IF(C5="","",IF(D5&gt;=C5*0.7,"Fast Moving",IF(D5&lt;=C5*0.1,"Dead Stock","Slow Moving")))</f>
        <v/>
      </c>
      <c r="I5" s="30" t="inlineStr">
        <is>
          <t>Example row - overwrite with real data</t>
        </is>
      </c>
    </row>
    <row r="6">
      <c r="A6" s="30" t="n"/>
      <c r="B6" s="30" t="n"/>
      <c r="C6" s="33" t="n"/>
      <c r="D6" s="33" t="n"/>
      <c r="E6" s="52">
        <f>IF(C6="","",C6-D6)</f>
        <v/>
      </c>
      <c r="F6" s="31" t="n"/>
      <c r="G6" s="31" t="n"/>
      <c r="H6" s="53">
        <f>IF(C6="","",IF(D6&gt;=C6*0.7,"Fast Moving",IF(D6&lt;=C6*0.1,"Dead Stock","Slow Moving")))</f>
        <v/>
      </c>
      <c r="I6" s="30" t="n"/>
    </row>
    <row r="7">
      <c r="A7" s="30" t="n"/>
      <c r="B7" s="30" t="n"/>
      <c r="C7" s="33" t="n"/>
      <c r="D7" s="33" t="n"/>
      <c r="E7" s="52">
        <f>IF(C7="","",C7-D7)</f>
        <v/>
      </c>
      <c r="F7" s="31" t="n"/>
      <c r="G7" s="31" t="n"/>
      <c r="H7" s="53">
        <f>IF(C7="","",IF(D7&gt;=C7*0.7,"Fast Moving",IF(D7&lt;=C7*0.1,"Dead Stock","Slow Moving")))</f>
        <v/>
      </c>
      <c r="I7" s="30" t="n"/>
    </row>
    <row r="8">
      <c r="A8" s="30" t="n"/>
      <c r="B8" s="30" t="n"/>
      <c r="C8" s="33" t="n"/>
      <c r="D8" s="33" t="n"/>
      <c r="E8" s="52">
        <f>IF(C8="","",C8-D8)</f>
        <v/>
      </c>
      <c r="F8" s="31" t="n"/>
      <c r="G8" s="31" t="n"/>
      <c r="H8" s="53">
        <f>IF(C8="","",IF(D8&gt;=C8*0.7,"Fast Moving",IF(D8&lt;=C8*0.1,"Dead Stock","Slow Moving")))</f>
        <v/>
      </c>
      <c r="I8" s="30" t="n"/>
    </row>
    <row r="9">
      <c r="A9" s="30" t="n"/>
      <c r="B9" s="30" t="n"/>
      <c r="C9" s="33" t="n"/>
      <c r="D9" s="33" t="n"/>
      <c r="E9" s="52">
        <f>IF(C9="","",C9-D9)</f>
        <v/>
      </c>
      <c r="F9" s="31" t="n"/>
      <c r="G9" s="31" t="n"/>
      <c r="H9" s="53">
        <f>IF(C9="","",IF(D9&gt;=C9*0.7,"Fast Moving",IF(D9&lt;=C9*0.1,"Dead Stock","Slow Moving")))</f>
        <v/>
      </c>
      <c r="I9" s="30" t="n"/>
    </row>
    <row r="10">
      <c r="A10" s="30" t="n"/>
      <c r="B10" s="30" t="n"/>
      <c r="C10" s="33" t="n"/>
      <c r="D10" s="33" t="n"/>
      <c r="E10" s="52">
        <f>IF(C10="","",C10-D10)</f>
        <v/>
      </c>
      <c r="F10" s="31" t="n"/>
      <c r="G10" s="31" t="n"/>
      <c r="H10" s="53">
        <f>IF(C10="","",IF(D10&gt;=C10*0.7,"Fast Moving",IF(D10&lt;=C10*0.1,"Dead Stock","Slow Moving")))</f>
        <v/>
      </c>
      <c r="I10" s="30" t="n"/>
    </row>
    <row r="11">
      <c r="A11" s="30" t="n"/>
      <c r="B11" s="30" t="n"/>
      <c r="C11" s="33" t="n"/>
      <c r="D11" s="33" t="n"/>
      <c r="E11" s="52">
        <f>IF(C11="","",C11-D11)</f>
        <v/>
      </c>
      <c r="F11" s="31" t="n"/>
      <c r="G11" s="31" t="n"/>
      <c r="H11" s="53">
        <f>IF(C11="","",IF(D11&gt;=C11*0.7,"Fast Moving",IF(D11&lt;=C11*0.1,"Dead Stock","Slow Moving")))</f>
        <v/>
      </c>
      <c r="I11" s="30" t="n"/>
    </row>
    <row r="12">
      <c r="A12" s="30" t="n"/>
      <c r="B12" s="30" t="n"/>
      <c r="C12" s="33" t="n"/>
      <c r="D12" s="33" t="n"/>
      <c r="E12" s="52">
        <f>IF(C12="","",C12-D12)</f>
        <v/>
      </c>
      <c r="F12" s="31" t="n"/>
      <c r="G12" s="31" t="n"/>
      <c r="H12" s="53">
        <f>IF(C12="","",IF(D12&gt;=C12*0.7,"Fast Moving",IF(D12&lt;=C12*0.1,"Dead Stock","Slow Moving")))</f>
        <v/>
      </c>
      <c r="I12" s="30" t="n"/>
    </row>
    <row r="13">
      <c r="A13" s="30" t="n"/>
      <c r="B13" s="30" t="n"/>
      <c r="C13" s="33" t="n"/>
      <c r="D13" s="33" t="n"/>
      <c r="E13" s="52">
        <f>IF(C13="","",C13-D13)</f>
        <v/>
      </c>
      <c r="F13" s="31" t="n"/>
      <c r="G13" s="31" t="n"/>
      <c r="H13" s="53">
        <f>IF(C13="","",IF(D13&gt;=C13*0.7,"Fast Moving",IF(D13&lt;=C13*0.1,"Dead Stock","Slow Moving")))</f>
        <v/>
      </c>
      <c r="I13" s="30" t="n"/>
    </row>
    <row r="14">
      <c r="A14" s="30" t="n"/>
      <c r="B14" s="30" t="n"/>
      <c r="C14" s="33" t="n"/>
      <c r="D14" s="33" t="n"/>
      <c r="E14" s="52">
        <f>IF(C14="","",C14-D14)</f>
        <v/>
      </c>
      <c r="F14" s="31" t="n"/>
      <c r="G14" s="31" t="n"/>
      <c r="H14" s="53">
        <f>IF(C14="","",IF(D14&gt;=C14*0.7,"Fast Moving",IF(D14&lt;=C14*0.1,"Dead Stock","Slow Moving")))</f>
        <v/>
      </c>
      <c r="I14" s="30" t="n"/>
    </row>
    <row r="15">
      <c r="A15" s="30" t="n"/>
      <c r="B15" s="30" t="n"/>
      <c r="C15" s="33" t="n"/>
      <c r="D15" s="33" t="n"/>
      <c r="E15" s="52">
        <f>IF(C15="","",C15-D15)</f>
        <v/>
      </c>
      <c r="F15" s="31" t="n"/>
      <c r="G15" s="31" t="n"/>
      <c r="H15" s="53">
        <f>IF(C15="","",IF(D15&gt;=C15*0.7,"Fast Moving",IF(D15&lt;=C15*0.1,"Dead Stock","Slow Moving")))</f>
        <v/>
      </c>
      <c r="I15" s="30" t="n"/>
    </row>
    <row r="16">
      <c r="A16" s="30" t="n"/>
      <c r="B16" s="30" t="n"/>
      <c r="C16" s="33" t="n"/>
      <c r="D16" s="33" t="n"/>
      <c r="E16" s="52">
        <f>IF(C16="","",C16-D16)</f>
        <v/>
      </c>
      <c r="F16" s="31" t="n"/>
      <c r="G16" s="31" t="n"/>
      <c r="H16" s="53">
        <f>IF(C16="","",IF(D16&gt;=C16*0.7,"Fast Moving",IF(D16&lt;=C16*0.1,"Dead Stock","Slow Moving")))</f>
        <v/>
      </c>
      <c r="I16" s="30" t="n"/>
    </row>
    <row r="17">
      <c r="A17" s="30" t="n"/>
      <c r="B17" s="30" t="n"/>
      <c r="C17" s="33" t="n"/>
      <c r="D17" s="33" t="n"/>
      <c r="E17" s="52">
        <f>IF(C17="","",C17-D17)</f>
        <v/>
      </c>
      <c r="F17" s="31" t="n"/>
      <c r="G17" s="31" t="n"/>
      <c r="H17" s="53">
        <f>IF(C17="","",IF(D17&gt;=C17*0.7,"Fast Moving",IF(D17&lt;=C17*0.1,"Dead Stock","Slow Moving")))</f>
        <v/>
      </c>
      <c r="I17" s="30" t="n"/>
    </row>
    <row r="18">
      <c r="A18" s="30" t="n"/>
      <c r="B18" s="30" t="n"/>
      <c r="C18" s="33" t="n"/>
      <c r="D18" s="33" t="n"/>
      <c r="E18" s="52">
        <f>IF(C18="","",C18-D18)</f>
        <v/>
      </c>
      <c r="F18" s="31" t="n"/>
      <c r="G18" s="31" t="n"/>
      <c r="H18" s="53">
        <f>IF(C18="","",IF(D18&gt;=C18*0.7,"Fast Moving",IF(D18&lt;=C18*0.1,"Dead Stock","Slow Moving")))</f>
        <v/>
      </c>
      <c r="I18" s="30" t="n"/>
    </row>
    <row r="19">
      <c r="A19" s="30" t="n"/>
      <c r="B19" s="30" t="n"/>
      <c r="C19" s="33" t="n"/>
      <c r="D19" s="33" t="n"/>
      <c r="E19" s="52">
        <f>IF(C19="","",C19-D19)</f>
        <v/>
      </c>
      <c r="F19" s="31" t="n"/>
      <c r="G19" s="31" t="n"/>
      <c r="H19" s="53">
        <f>IF(C19="","",IF(D19&gt;=C19*0.7,"Fast Moving",IF(D19&lt;=C19*0.1,"Dead Stock","Slow Moving")))</f>
        <v/>
      </c>
      <c r="I19" s="30" t="n"/>
    </row>
    <row r="20">
      <c r="A20" s="30" t="n"/>
      <c r="B20" s="30" t="n"/>
      <c r="C20" s="33" t="n"/>
      <c r="D20" s="33" t="n"/>
      <c r="E20" s="52">
        <f>IF(C20="","",C20-D20)</f>
        <v/>
      </c>
      <c r="F20" s="31" t="n"/>
      <c r="G20" s="31" t="n"/>
      <c r="H20" s="53">
        <f>IF(C20="","",IF(D20&gt;=C20*0.7,"Fast Moving",IF(D20&lt;=C20*0.1,"Dead Stock","Slow Moving")))</f>
        <v/>
      </c>
      <c r="I20" s="30" t="n"/>
    </row>
    <row r="21">
      <c r="A21" s="30" t="n"/>
      <c r="B21" s="30" t="n"/>
      <c r="C21" s="33" t="n"/>
      <c r="D21" s="33" t="n"/>
      <c r="E21" s="52">
        <f>IF(C21="","",C21-D21)</f>
        <v/>
      </c>
      <c r="F21" s="31" t="n"/>
      <c r="G21" s="31" t="n"/>
      <c r="H21" s="53">
        <f>IF(C21="","",IF(D21&gt;=C21*0.7,"Fast Moving",IF(D21&lt;=C21*0.1,"Dead Stock","Slow Moving")))</f>
        <v/>
      </c>
      <c r="I21" s="30" t="n"/>
    </row>
    <row r="22">
      <c r="A22" s="30" t="n"/>
      <c r="B22" s="30" t="n"/>
      <c r="C22" s="33" t="n"/>
      <c r="D22" s="33" t="n"/>
      <c r="E22" s="52">
        <f>IF(C22="","",C22-D22)</f>
        <v/>
      </c>
      <c r="F22" s="31" t="n"/>
      <c r="G22" s="31" t="n"/>
      <c r="H22" s="53">
        <f>IF(C22="","",IF(D22&gt;=C22*0.7,"Fast Moving",IF(D22&lt;=C22*0.1,"Dead Stock","Slow Moving")))</f>
        <v/>
      </c>
      <c r="I22" s="30" t="n"/>
    </row>
    <row r="23">
      <c r="A23" s="30" t="n"/>
      <c r="B23" s="30" t="n"/>
      <c r="C23" s="33" t="n"/>
      <c r="D23" s="33" t="n"/>
      <c r="E23" s="52">
        <f>IF(C23="","",C23-D23)</f>
        <v/>
      </c>
      <c r="F23" s="31" t="n"/>
      <c r="G23" s="31" t="n"/>
      <c r="H23" s="53">
        <f>IF(C23="","",IF(D23&gt;=C23*0.7,"Fast Moving",IF(D23&lt;=C23*0.1,"Dead Stock","Slow Moving")))</f>
        <v/>
      </c>
      <c r="I23" s="30" t="n"/>
    </row>
    <row r="24">
      <c r="A24" s="30" t="n"/>
      <c r="B24" s="30" t="n"/>
      <c r="C24" s="33" t="n"/>
      <c r="D24" s="33" t="n"/>
      <c r="E24" s="52">
        <f>IF(C24="","",C24-D24)</f>
        <v/>
      </c>
      <c r="F24" s="31" t="n"/>
      <c r="G24" s="31" t="n"/>
      <c r="H24" s="53">
        <f>IF(C24="","",IF(D24&gt;=C24*0.7,"Fast Moving",IF(D24&lt;=C24*0.1,"Dead Stock","Slow Moving")))</f>
        <v/>
      </c>
      <c r="I24" s="30" t="n"/>
    </row>
    <row r="25">
      <c r="A25" s="30" t="n"/>
      <c r="B25" s="30" t="n"/>
      <c r="C25" s="33" t="n"/>
      <c r="D25" s="33" t="n"/>
      <c r="E25" s="52">
        <f>IF(C25="","",C25-D25)</f>
        <v/>
      </c>
      <c r="F25" s="31" t="n"/>
      <c r="G25" s="31" t="n"/>
      <c r="H25" s="53">
        <f>IF(C25="","",IF(D25&gt;=C25*0.7,"Fast Moving",IF(D25&lt;=C25*0.1,"Dead Stock","Slow Moving")))</f>
        <v/>
      </c>
      <c r="I25" s="30" t="n"/>
    </row>
    <row r="26">
      <c r="A26" s="30" t="n"/>
      <c r="B26" s="30" t="n"/>
      <c r="C26" s="33" t="n"/>
      <c r="D26" s="33" t="n"/>
      <c r="E26" s="52">
        <f>IF(C26="","",C26-D26)</f>
        <v/>
      </c>
      <c r="F26" s="31" t="n"/>
      <c r="G26" s="31" t="n"/>
      <c r="H26" s="53">
        <f>IF(C26="","",IF(D26&gt;=C26*0.7,"Fast Moving",IF(D26&lt;=C26*0.1,"Dead Stock","Slow Moving")))</f>
        <v/>
      </c>
      <c r="I26" s="30" t="n"/>
    </row>
    <row r="27">
      <c r="A27" s="30" t="n"/>
      <c r="B27" s="30" t="n"/>
      <c r="C27" s="33" t="n"/>
      <c r="D27" s="33" t="n"/>
      <c r="E27" s="52">
        <f>IF(C27="","",C27-D27)</f>
        <v/>
      </c>
      <c r="F27" s="31" t="n"/>
      <c r="G27" s="31" t="n"/>
      <c r="H27" s="53">
        <f>IF(C27="","",IF(D27&gt;=C27*0.7,"Fast Moving",IF(D27&lt;=C27*0.1,"Dead Stock","Slow Moving")))</f>
        <v/>
      </c>
      <c r="I27" s="30" t="n"/>
    </row>
    <row r="28">
      <c r="A28" s="30" t="n"/>
      <c r="B28" s="30" t="n"/>
      <c r="C28" s="33" t="n"/>
      <c r="D28" s="33" t="n"/>
      <c r="E28" s="52">
        <f>IF(C28="","",C28-D28)</f>
        <v/>
      </c>
      <c r="F28" s="31" t="n"/>
      <c r="G28" s="31" t="n"/>
      <c r="H28" s="53">
        <f>IF(C28="","",IF(D28&gt;=C28*0.7,"Fast Moving",IF(D28&lt;=C28*0.1,"Dead Stock","Slow Moving")))</f>
        <v/>
      </c>
      <c r="I28" s="30" t="n"/>
    </row>
    <row r="29">
      <c r="A29" s="30" t="n"/>
      <c r="B29" s="30" t="n"/>
      <c r="C29" s="33" t="n"/>
      <c r="D29" s="33" t="n"/>
      <c r="E29" s="52">
        <f>IF(C29="","",C29-D29)</f>
        <v/>
      </c>
      <c r="F29" s="31" t="n"/>
      <c r="G29" s="31" t="n"/>
      <c r="H29" s="53">
        <f>IF(C29="","",IF(D29&gt;=C29*0.7,"Fast Moving",IF(D29&lt;=C29*0.1,"Dead Stock","Slow Moving")))</f>
        <v/>
      </c>
      <c r="I29" s="30" t="n"/>
    </row>
    <row r="30">
      <c r="A30" s="30" t="n"/>
      <c r="B30" s="30" t="n"/>
      <c r="C30" s="33" t="n"/>
      <c r="D30" s="33" t="n"/>
      <c r="E30" s="52">
        <f>IF(C30="","",C30-D30)</f>
        <v/>
      </c>
      <c r="F30" s="31" t="n"/>
      <c r="G30" s="31" t="n"/>
      <c r="H30" s="53">
        <f>IF(C30="","",IF(D30&gt;=C30*0.7,"Fast Moving",IF(D30&lt;=C30*0.1,"Dead Stock","Slow Moving")))</f>
        <v/>
      </c>
      <c r="I30" s="30" t="n"/>
    </row>
    <row r="31">
      <c r="A31" s="30" t="n"/>
      <c r="B31" s="30" t="n"/>
      <c r="C31" s="33" t="n"/>
      <c r="D31" s="33" t="n"/>
      <c r="E31" s="52">
        <f>IF(C31="","",C31-D31)</f>
        <v/>
      </c>
      <c r="F31" s="31" t="n"/>
      <c r="G31" s="31" t="n"/>
      <c r="H31" s="53">
        <f>IF(C31="","",IF(D31&gt;=C31*0.7,"Fast Moving",IF(D31&lt;=C31*0.1,"Dead Stock","Slow Moving")))</f>
        <v/>
      </c>
      <c r="I31" s="30" t="n"/>
    </row>
    <row r="32">
      <c r="A32" s="30" t="n"/>
      <c r="B32" s="30" t="n"/>
      <c r="C32" s="33" t="n"/>
      <c r="D32" s="33" t="n"/>
      <c r="E32" s="52">
        <f>IF(C32="","",C32-D32)</f>
        <v/>
      </c>
      <c r="F32" s="31" t="n"/>
      <c r="G32" s="31" t="n"/>
      <c r="H32" s="53">
        <f>IF(C32="","",IF(D32&gt;=C32*0.7,"Fast Moving",IF(D32&lt;=C32*0.1,"Dead Stock","Slow Moving")))</f>
        <v/>
      </c>
      <c r="I32" s="30" t="n"/>
    </row>
    <row r="33">
      <c r="A33" s="30" t="n"/>
      <c r="B33" s="30" t="n"/>
      <c r="C33" s="33" t="n"/>
      <c r="D33" s="33" t="n"/>
      <c r="E33" s="52">
        <f>IF(C33="","",C33-D33)</f>
        <v/>
      </c>
      <c r="F33" s="31" t="n"/>
      <c r="G33" s="31" t="n"/>
      <c r="H33" s="53">
        <f>IF(C33="","",IF(D33&gt;=C33*0.7,"Fast Moving",IF(D33&lt;=C33*0.1,"Dead Stock","Slow Moving")))</f>
        <v/>
      </c>
      <c r="I33" s="30" t="n"/>
    </row>
    <row r="34">
      <c r="A34" s="30" t="n"/>
      <c r="B34" s="30" t="n"/>
      <c r="C34" s="33" t="n"/>
      <c r="D34" s="33" t="n"/>
      <c r="E34" s="52">
        <f>IF(C34="","",C34-D34)</f>
        <v/>
      </c>
      <c r="F34" s="31" t="n"/>
      <c r="G34" s="31" t="n"/>
      <c r="H34" s="53">
        <f>IF(C34="","",IF(D34&gt;=C34*0.7,"Fast Moving",IF(D34&lt;=C34*0.1,"Dead Stock","Slow Moving")))</f>
        <v/>
      </c>
      <c r="I34" s="30" t="n"/>
    </row>
    <row r="35">
      <c r="A35" s="30" t="n"/>
      <c r="B35" s="30" t="n"/>
      <c r="C35" s="33" t="n"/>
      <c r="D35" s="33" t="n"/>
      <c r="E35" s="52">
        <f>IF(C35="","",C35-D35)</f>
        <v/>
      </c>
      <c r="F35" s="31" t="n"/>
      <c r="G35" s="31" t="n"/>
      <c r="H35" s="53">
        <f>IF(C35="","",IF(D35&gt;=C35*0.7,"Fast Moving",IF(D35&lt;=C35*0.1,"Dead Stock","Slow Moving")))</f>
        <v/>
      </c>
      <c r="I35" s="30" t="n"/>
    </row>
    <row r="36">
      <c r="A36" s="30" t="n"/>
      <c r="B36" s="30" t="n"/>
      <c r="C36" s="33" t="n"/>
      <c r="D36" s="33" t="n"/>
      <c r="E36" s="52">
        <f>IF(C36="","",C36-D36)</f>
        <v/>
      </c>
      <c r="F36" s="31" t="n"/>
      <c r="G36" s="31" t="n"/>
      <c r="H36" s="53">
        <f>IF(C36="","",IF(D36&gt;=C36*0.7,"Fast Moving",IF(D36&lt;=C36*0.1,"Dead Stock","Slow Moving")))</f>
        <v/>
      </c>
      <c r="I36" s="30" t="n"/>
    </row>
    <row r="37">
      <c r="A37" s="30" t="n"/>
      <c r="B37" s="30" t="n"/>
      <c r="C37" s="33" t="n"/>
      <c r="D37" s="33" t="n"/>
      <c r="E37" s="52">
        <f>IF(C37="","",C37-D37)</f>
        <v/>
      </c>
      <c r="F37" s="31" t="n"/>
      <c r="G37" s="31" t="n"/>
      <c r="H37" s="53">
        <f>IF(C37="","",IF(D37&gt;=C37*0.7,"Fast Moving",IF(D37&lt;=C37*0.1,"Dead Stock","Slow Moving")))</f>
        <v/>
      </c>
      <c r="I37" s="30" t="n"/>
    </row>
    <row r="38">
      <c r="A38" s="30" t="n"/>
      <c r="B38" s="30" t="n"/>
      <c r="C38" s="33" t="n"/>
      <c r="D38" s="33" t="n"/>
      <c r="E38" s="52">
        <f>IF(C38="","",C38-D38)</f>
        <v/>
      </c>
      <c r="F38" s="31" t="n"/>
      <c r="G38" s="31" t="n"/>
      <c r="H38" s="53">
        <f>IF(C38="","",IF(D38&gt;=C38*0.7,"Fast Moving",IF(D38&lt;=C38*0.1,"Dead Stock","Slow Moving")))</f>
        <v/>
      </c>
      <c r="I38" s="30" t="n"/>
    </row>
    <row r="39">
      <c r="A39" s="30" t="n"/>
      <c r="B39" s="30" t="n"/>
      <c r="C39" s="33" t="n"/>
      <c r="D39" s="33" t="n"/>
      <c r="E39" s="52">
        <f>IF(C39="","",C39-D39)</f>
        <v/>
      </c>
      <c r="F39" s="31" t="n"/>
      <c r="G39" s="31" t="n"/>
      <c r="H39" s="53">
        <f>IF(C39="","",IF(D39&gt;=C39*0.7,"Fast Moving",IF(D39&lt;=C39*0.1,"Dead Stock","Slow Moving")))</f>
        <v/>
      </c>
      <c r="I39" s="30" t="n"/>
    </row>
    <row r="40">
      <c r="A40" s="30" t="n"/>
      <c r="B40" s="30" t="n"/>
      <c r="C40" s="33" t="n"/>
      <c r="D40" s="33" t="n"/>
      <c r="E40" s="52">
        <f>IF(C40="","",C40-D40)</f>
        <v/>
      </c>
      <c r="F40" s="31" t="n"/>
      <c r="G40" s="31" t="n"/>
      <c r="H40" s="53">
        <f>IF(C40="","",IF(D40&gt;=C40*0.7,"Fast Moving",IF(D40&lt;=C40*0.1,"Dead Stock","Slow Moving")))</f>
        <v/>
      </c>
      <c r="I40" s="30" t="n"/>
    </row>
    <row r="41">
      <c r="A41" s="30" t="n"/>
      <c r="B41" s="30" t="n"/>
      <c r="C41" s="33" t="n"/>
      <c r="D41" s="33" t="n"/>
      <c r="E41" s="52">
        <f>IF(C41="","",C41-D41)</f>
        <v/>
      </c>
      <c r="F41" s="31" t="n"/>
      <c r="G41" s="31" t="n"/>
      <c r="H41" s="53">
        <f>IF(C41="","",IF(D41&gt;=C41*0.7,"Fast Moving",IF(D41&lt;=C41*0.1,"Dead Stock","Slow Moving")))</f>
        <v/>
      </c>
      <c r="I41" s="30" t="n"/>
    </row>
    <row r="42">
      <c r="A42" s="30" t="n"/>
      <c r="B42" s="30" t="n"/>
      <c r="C42" s="33" t="n"/>
      <c r="D42" s="33" t="n"/>
      <c r="E42" s="52">
        <f>IF(C42="","",C42-D42)</f>
        <v/>
      </c>
      <c r="F42" s="31" t="n"/>
      <c r="G42" s="31" t="n"/>
      <c r="H42" s="53">
        <f>IF(C42="","",IF(D42&gt;=C42*0.7,"Fast Moving",IF(D42&lt;=C42*0.1,"Dead Stock","Slow Moving")))</f>
        <v/>
      </c>
      <c r="I42" s="30" t="n"/>
    </row>
    <row r="43">
      <c r="A43" s="30" t="n"/>
      <c r="B43" s="30" t="n"/>
      <c r="C43" s="33" t="n"/>
      <c r="D43" s="33" t="n"/>
      <c r="E43" s="52">
        <f>IF(C43="","",C43-D43)</f>
        <v/>
      </c>
      <c r="F43" s="31" t="n"/>
      <c r="G43" s="31" t="n"/>
      <c r="H43" s="53">
        <f>IF(C43="","",IF(D43&gt;=C43*0.7,"Fast Moving",IF(D43&lt;=C43*0.1,"Dead Stock","Slow Moving")))</f>
        <v/>
      </c>
      <c r="I43" s="30" t="n"/>
    </row>
    <row r="44">
      <c r="A44" s="30" t="n"/>
      <c r="B44" s="30" t="n"/>
      <c r="C44" s="33" t="n"/>
      <c r="D44" s="33" t="n"/>
      <c r="E44" s="52">
        <f>IF(C44="","",C44-D44)</f>
        <v/>
      </c>
      <c r="F44" s="31" t="n"/>
      <c r="G44" s="31" t="n"/>
      <c r="H44" s="53">
        <f>IF(C44="","",IF(D44&gt;=C44*0.7,"Fast Moving",IF(D44&lt;=C44*0.1,"Dead Stock","Slow Moving")))</f>
        <v/>
      </c>
      <c r="I44" s="30" t="n"/>
    </row>
    <row r="45"/>
    <row r="46">
      <c r="A46" s="27" t="n"/>
      <c r="B46" s="28" t="inlineStr">
        <is>
          <t>TOTAL REMAINING INVENTORY VALUE (EGP)</t>
        </is>
      </c>
      <c r="E46" s="29">
        <f>SUMPRODUCT(E5:E44,F5:F44)</f>
        <v/>
      </c>
    </row>
    <row r="47"/>
    <row r="48">
      <c r="A48" s="11" t="inlineStr">
        <is>
          <t>Movement Status: Fast Moving = sold ≥70% of stock, Dead Stock = sold ≤10% of stock, otherwise Slow Moving. Thresholds can be adjusted in the formula.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:I1"/>
    <mergeCell ref="A2:I2"/>
  </mergeCells>
  <conditionalFormatting sqref="H5:H44">
    <cfRule type="expression" priority="1" dxfId="0">
      <formula>H5="Dead Stock"</formula>
    </cfRule>
    <cfRule type="expression" priority="2" dxfId="4">
      <formula>H5="Fast Moving"</formula>
    </cfRule>
    <cfRule type="expression" priority="3" dxfId="5">
      <formula>H5="Slow Moving"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M4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4" customWidth="1" min="4" max="4"/>
    <col width="14" customWidth="1" min="5" max="5"/>
    <col width="3" customWidth="1" min="6" max="6"/>
    <col width="20" customWidth="1" min="7" max="7"/>
    <col width="14" customWidth="1" min="8" max="8"/>
    <col width="3" customWidth="1" min="9" max="9"/>
    <col width="20" customWidth="1" min="10" max="10"/>
    <col width="14" customWidth="1" min="11" max="11"/>
    <col hidden="1" width="13" customWidth="1" min="13" max="13"/>
  </cols>
  <sheetData>
    <row r="1" ht="32" customHeight="1">
      <c r="A1" s="12" t="inlineStr">
        <is>
          <t>PRODUCT PERFORMANCE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13" t="inlineStr">
        <is>
          <t>Top / worst sellers and margin leaders (auto-ranked from Inventory Tracker)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/>
    <row r="4">
      <c r="B4" s="19" t="inlineStr">
        <is>
          <t>TOP 5 SELLING PRODUCTS (by units sold)</t>
        </is>
      </c>
      <c r="G4" s="19" t="inlineStr">
        <is>
          <t>BOTTOM 5 SELLING PRODUCTS</t>
        </is>
      </c>
    </row>
    <row r="5" ht="30" customHeight="1">
      <c r="B5" s="4" t="inlineStr">
        <is>
          <t>Rank</t>
        </is>
      </c>
      <c r="C5" s="4" t="inlineStr">
        <is>
          <t>Product</t>
        </is>
      </c>
      <c r="D5" s="4" t="inlineStr">
        <is>
          <t>Units Sold</t>
        </is>
      </c>
      <c r="G5" s="4" t="inlineStr">
        <is>
          <t>Product</t>
        </is>
      </c>
      <c r="H5" s="4" t="inlineStr">
        <is>
          <t>Units Sold</t>
        </is>
      </c>
      <c r="M5">
        <f>'Inventory Tracker'!G5-'Inventory Tracker'!F5</f>
        <v/>
      </c>
    </row>
    <row r="6">
      <c r="B6" s="8" t="n">
        <v>1</v>
      </c>
      <c r="C6" s="54">
        <f>IFERROR(INDEX('Inventory Tracker'!$A$5:$A$44,MATCH(D6,'Inventory Tracker'!$D$5:$D$44,0)),"-")</f>
        <v/>
      </c>
      <c r="D6" s="37">
        <f>IFERROR(LARGE('Inventory Tracker'!$D$5:$D$44,1),0)</f>
        <v/>
      </c>
      <c r="G6" s="54">
        <f>IFERROR(INDEX('Inventory Tracker'!$A$5:$A$44,MATCH(H6,'Inventory Tracker'!$D$5:$D$44,0)),"-")</f>
        <v/>
      </c>
      <c r="H6" s="37">
        <f>IFERROR(SMALL('Inventory Tracker'!$D$5:$D$44,1),0)</f>
        <v/>
      </c>
      <c r="M6">
        <f>'Inventory Tracker'!G6-'Inventory Tracker'!F6</f>
        <v/>
      </c>
    </row>
    <row r="7">
      <c r="B7" s="8" t="n">
        <v>2</v>
      </c>
      <c r="C7" s="54">
        <f>IFERROR(INDEX('Inventory Tracker'!$A$5:$A$44,MATCH(D7,'Inventory Tracker'!$D$5:$D$44,0)),"-")</f>
        <v/>
      </c>
      <c r="D7" s="37">
        <f>IFERROR(LARGE('Inventory Tracker'!$D$5:$D$44,2),0)</f>
        <v/>
      </c>
      <c r="G7" s="54">
        <f>IFERROR(INDEX('Inventory Tracker'!$A$5:$A$44,MATCH(H7,'Inventory Tracker'!$D$5:$D$44,0)),"-")</f>
        <v/>
      </c>
      <c r="H7" s="37">
        <f>IFERROR(SMALL('Inventory Tracker'!$D$5:$D$44,2),0)</f>
        <v/>
      </c>
      <c r="M7">
        <f>'Inventory Tracker'!G7-'Inventory Tracker'!F7</f>
        <v/>
      </c>
    </row>
    <row r="8">
      <c r="B8" s="8" t="n">
        <v>3</v>
      </c>
      <c r="C8" s="54">
        <f>IFERROR(INDEX('Inventory Tracker'!$A$5:$A$44,MATCH(D8,'Inventory Tracker'!$D$5:$D$44,0)),"-")</f>
        <v/>
      </c>
      <c r="D8" s="37">
        <f>IFERROR(LARGE('Inventory Tracker'!$D$5:$D$44,3),0)</f>
        <v/>
      </c>
      <c r="G8" s="54">
        <f>IFERROR(INDEX('Inventory Tracker'!$A$5:$A$44,MATCH(H8,'Inventory Tracker'!$D$5:$D$44,0)),"-")</f>
        <v/>
      </c>
      <c r="H8" s="37">
        <f>IFERROR(SMALL('Inventory Tracker'!$D$5:$D$44,3),0)</f>
        <v/>
      </c>
      <c r="M8">
        <f>'Inventory Tracker'!G8-'Inventory Tracker'!F8</f>
        <v/>
      </c>
    </row>
    <row r="9">
      <c r="B9" s="8" t="n">
        <v>4</v>
      </c>
      <c r="C9" s="54">
        <f>IFERROR(INDEX('Inventory Tracker'!$A$5:$A$44,MATCH(D9,'Inventory Tracker'!$D$5:$D$44,0)),"-")</f>
        <v/>
      </c>
      <c r="D9" s="37">
        <f>IFERROR(LARGE('Inventory Tracker'!$D$5:$D$44,4),0)</f>
        <v/>
      </c>
      <c r="G9" s="54">
        <f>IFERROR(INDEX('Inventory Tracker'!$A$5:$A$44,MATCH(H9,'Inventory Tracker'!$D$5:$D$44,0)),"-")</f>
        <v/>
      </c>
      <c r="H9" s="37">
        <f>IFERROR(SMALL('Inventory Tracker'!$D$5:$D$44,4),0)</f>
        <v/>
      </c>
      <c r="M9">
        <f>'Inventory Tracker'!G9-'Inventory Tracker'!F9</f>
        <v/>
      </c>
    </row>
    <row r="10">
      <c r="B10" s="8" t="n">
        <v>5</v>
      </c>
      <c r="C10" s="54">
        <f>IFERROR(INDEX('Inventory Tracker'!$A$5:$A$44,MATCH(D10,'Inventory Tracker'!$D$5:$D$44,0)),"-")</f>
        <v/>
      </c>
      <c r="D10" s="37">
        <f>IFERROR(LARGE('Inventory Tracker'!$D$5:$D$44,5),0)</f>
        <v/>
      </c>
      <c r="G10" s="54">
        <f>IFERROR(INDEX('Inventory Tracker'!$A$5:$A$44,MATCH(H10,'Inventory Tracker'!$D$5:$D$44,0)),"-")</f>
        <v/>
      </c>
      <c r="H10" s="37">
        <f>IFERROR(SMALL('Inventory Tracker'!$D$5:$D$44,5),0)</f>
        <v/>
      </c>
      <c r="M10">
        <f>'Inventory Tracker'!G10-'Inventory Tracker'!F10</f>
        <v/>
      </c>
    </row>
    <row r="11">
      <c r="M11">
        <f>'Inventory Tracker'!G11-'Inventory Tracker'!F11</f>
        <v/>
      </c>
    </row>
    <row r="12">
      <c r="M12">
        <f>'Inventory Tracker'!G12-'Inventory Tracker'!F12</f>
        <v/>
      </c>
    </row>
    <row r="13">
      <c r="B13" s="19" t="inlineStr">
        <is>
          <t>MARGIN LEADERS (by EGP margin per unit)</t>
        </is>
      </c>
      <c r="M13">
        <f>'Inventory Tracker'!G13-'Inventory Tracker'!F13</f>
        <v/>
      </c>
    </row>
    <row r="14" ht="30" customHeight="1">
      <c r="B14" s="4" t="inlineStr">
        <is>
          <t>Rank</t>
        </is>
      </c>
      <c r="C14" s="4" t="inlineStr">
        <is>
          <t>Product</t>
        </is>
      </c>
      <c r="D14" s="4" t="inlineStr">
        <is>
          <t>Margin/Unit</t>
        </is>
      </c>
      <c r="M14">
        <f>'Inventory Tracker'!G14-'Inventory Tracker'!F14</f>
        <v/>
      </c>
    </row>
    <row r="15">
      <c r="B15" s="8" t="n">
        <v>1</v>
      </c>
      <c r="C15" s="54">
        <f>IFERROR(INDEX('Inventory Tracker'!$A$5:$A$44,MATCH(D15,$M$5:$M$44,0)),"-")</f>
        <v/>
      </c>
      <c r="D15" s="50">
        <f>IFERROR(LARGE($M$5:$M$44,1),0)</f>
        <v/>
      </c>
      <c r="M15">
        <f>'Inventory Tracker'!G15-'Inventory Tracker'!F15</f>
        <v/>
      </c>
    </row>
    <row r="16">
      <c r="B16" s="8" t="n">
        <v>2</v>
      </c>
      <c r="C16" s="54">
        <f>IFERROR(INDEX('Inventory Tracker'!$A$5:$A$44,MATCH(D16,$M$5:$M$44,0)),"-")</f>
        <v/>
      </c>
      <c r="D16" s="50">
        <f>IFERROR(LARGE($M$5:$M$44,2),0)</f>
        <v/>
      </c>
      <c r="M16">
        <f>'Inventory Tracker'!G16-'Inventory Tracker'!F16</f>
        <v/>
      </c>
    </row>
    <row r="17">
      <c r="B17" s="8" t="n">
        <v>3</v>
      </c>
      <c r="C17" s="54">
        <f>IFERROR(INDEX('Inventory Tracker'!$A$5:$A$44,MATCH(D17,$M$5:$M$44,0)),"-")</f>
        <v/>
      </c>
      <c r="D17" s="50">
        <f>IFERROR(LARGE($M$5:$M$44,3),0)</f>
        <v/>
      </c>
      <c r="M17">
        <f>'Inventory Tracker'!G17-'Inventory Tracker'!F17</f>
        <v/>
      </c>
    </row>
    <row r="18">
      <c r="B18" s="8" t="n">
        <v>4</v>
      </c>
      <c r="C18" s="54">
        <f>IFERROR(INDEX('Inventory Tracker'!$A$5:$A$44,MATCH(D18,$M$5:$M$44,0)),"-")</f>
        <v/>
      </c>
      <c r="D18" s="50">
        <f>IFERROR(LARGE($M$5:$M$44,4),0)</f>
        <v/>
      </c>
      <c r="M18">
        <f>'Inventory Tracker'!G18-'Inventory Tracker'!F18</f>
        <v/>
      </c>
    </row>
    <row r="19">
      <c r="B19" s="8" t="n">
        <v>5</v>
      </c>
      <c r="C19" s="54">
        <f>IFERROR(INDEX('Inventory Tracker'!$A$5:$A$44,MATCH(D19,$M$5:$M$44,0)),"-")</f>
        <v/>
      </c>
      <c r="D19" s="50">
        <f>IFERROR(LARGE($M$5:$M$44,5),0)</f>
        <v/>
      </c>
      <c r="M19">
        <f>'Inventory Tracker'!G19-'Inventory Tracker'!F19</f>
        <v/>
      </c>
    </row>
    <row r="20">
      <c r="M20">
        <f>'Inventory Tracker'!G20-'Inventory Tracker'!F20</f>
        <v/>
      </c>
    </row>
    <row r="21">
      <c r="B21" s="11" t="inlineStr">
        <is>
          <t>Rankings pull live from the Inventory Tracker sheet (units sold and cost/sale prices). Add products there and this dashboard updates automatically. A hidden helper column (M) computes per-unit margin.</t>
        </is>
      </c>
      <c r="M21">
        <f>'Inventory Tracker'!G21-'Inventory Tracker'!F21</f>
        <v/>
      </c>
    </row>
    <row r="22">
      <c r="M22">
        <f>'Inventory Tracker'!G22-'Inventory Tracker'!F22</f>
        <v/>
      </c>
    </row>
    <row r="23">
      <c r="M23">
        <f>'Inventory Tracker'!G23-'Inventory Tracker'!F23</f>
        <v/>
      </c>
    </row>
    <row r="24">
      <c r="M24">
        <f>'Inventory Tracker'!G24-'Inventory Tracker'!F24</f>
        <v/>
      </c>
    </row>
    <row r="25">
      <c r="M25">
        <f>'Inventory Tracker'!G25-'Inventory Tracker'!F25</f>
        <v/>
      </c>
    </row>
    <row r="26">
      <c r="M26">
        <f>'Inventory Tracker'!G26-'Inventory Tracker'!F26</f>
        <v/>
      </c>
    </row>
    <row r="27">
      <c r="M27">
        <f>'Inventory Tracker'!G27-'Inventory Tracker'!F27</f>
        <v/>
      </c>
    </row>
    <row r="28">
      <c r="M28">
        <f>'Inventory Tracker'!G28-'Inventory Tracker'!F28</f>
        <v/>
      </c>
    </row>
    <row r="29">
      <c r="M29">
        <f>'Inventory Tracker'!G29-'Inventory Tracker'!F29</f>
        <v/>
      </c>
    </row>
    <row r="30">
      <c r="M30">
        <f>'Inventory Tracker'!G30-'Inventory Tracker'!F30</f>
        <v/>
      </c>
    </row>
    <row r="31">
      <c r="M31">
        <f>'Inventory Tracker'!G31-'Inventory Tracker'!F31</f>
        <v/>
      </c>
    </row>
    <row r="32">
      <c r="M32">
        <f>'Inventory Tracker'!G32-'Inventory Tracker'!F32</f>
        <v/>
      </c>
    </row>
    <row r="33">
      <c r="M33">
        <f>'Inventory Tracker'!G33-'Inventory Tracker'!F33</f>
        <v/>
      </c>
    </row>
    <row r="34">
      <c r="M34">
        <f>'Inventory Tracker'!G34-'Inventory Tracker'!F34</f>
        <v/>
      </c>
    </row>
    <row r="35">
      <c r="M35">
        <f>'Inventory Tracker'!G35-'Inventory Tracker'!F35</f>
        <v/>
      </c>
    </row>
    <row r="36">
      <c r="M36">
        <f>'Inventory Tracker'!G36-'Inventory Tracker'!F36</f>
        <v/>
      </c>
    </row>
    <row r="37">
      <c r="M37">
        <f>'Inventory Tracker'!G37-'Inventory Tracker'!F37</f>
        <v/>
      </c>
    </row>
    <row r="38">
      <c r="M38">
        <f>'Inventory Tracker'!G38-'Inventory Tracker'!F38</f>
        <v/>
      </c>
    </row>
    <row r="39">
      <c r="M39">
        <f>'Inventory Tracker'!G39-'Inventory Tracker'!F39</f>
        <v/>
      </c>
    </row>
    <row r="40">
      <c r="M40">
        <f>'Inventory Tracker'!G40-'Inventory Tracker'!F40</f>
        <v/>
      </c>
    </row>
    <row r="41">
      <c r="M41">
        <f>'Inventory Tracker'!G41-'Inventory Tracker'!F41</f>
        <v/>
      </c>
    </row>
    <row r="42">
      <c r="M42">
        <f>'Inventory Tracker'!G42-'Inventory Tracker'!F42</f>
        <v/>
      </c>
    </row>
    <row r="43">
      <c r="M43">
        <f>'Inventory Tracker'!G43-'Inventory Tracker'!F43</f>
        <v/>
      </c>
    </row>
    <row r="44">
      <c r="M44">
        <f>'Inventory Tracker'!G44-'Inventory Tracker'!F44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5">
    <mergeCell ref="G4:H4"/>
    <mergeCell ref="B4:E4"/>
    <mergeCell ref="B13:E13"/>
    <mergeCell ref="A2:K2"/>
    <mergeCell ref="A1:K1"/>
  </mergeCell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F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6" customWidth="1" min="4" max="4"/>
    <col width="18" customWidth="1" min="5" max="5"/>
    <col width="26" customWidth="1" min="6" max="6"/>
  </cols>
  <sheetData>
    <row r="1" ht="32" customHeight="1">
      <c r="A1" s="12" t="inlineStr">
        <is>
          <t>EXPENSE TRACKER</t>
        </is>
      </c>
      <c r="B1" s="2" t="n"/>
      <c r="C1" s="2" t="n"/>
      <c r="D1" s="2" t="n"/>
      <c r="E1" s="2" t="n"/>
      <c r="F1" s="2" t="n"/>
    </row>
    <row r="2" ht="16" customHeight="1">
      <c r="A2" s="13" t="inlineStr">
        <is>
          <t>Log every actual expense as it occurs</t>
        </is>
      </c>
      <c r="B2" s="2" t="n"/>
      <c r="C2" s="2" t="n"/>
      <c r="D2" s="2" t="n"/>
      <c r="E2" s="2" t="n"/>
      <c r="F2" s="2" t="n"/>
    </row>
    <row r="3"/>
    <row r="4" ht="30" customHeight="1">
      <c r="A4" s="4" t="inlineStr">
        <is>
          <t>Date</t>
        </is>
      </c>
      <c r="B4" s="4" t="inlineStr">
        <is>
          <t>Expense Category</t>
        </is>
      </c>
      <c r="C4" s="4" t="inlineStr">
        <is>
          <t>Amount (EGP)</t>
        </is>
      </c>
      <c r="D4" s="4" t="inlineStr">
        <is>
          <t>Payment Method</t>
        </is>
      </c>
      <c r="E4" s="4" t="inlineStr">
        <is>
          <t>Supplier</t>
        </is>
      </c>
      <c r="F4" s="4" t="inlineStr">
        <is>
          <t>Notes</t>
        </is>
      </c>
    </row>
    <row r="5">
      <c r="A5" s="55" t="n">
        <v>46239</v>
      </c>
      <c r="B5" s="30" t="inlineStr">
        <is>
          <t>Rent</t>
        </is>
      </c>
      <c r="C5" s="31" t="n">
        <v>15000</v>
      </c>
      <c r="D5" s="30" t="inlineStr">
        <is>
          <t>Bank Transfer</t>
        </is>
      </c>
      <c r="E5" s="30" t="inlineStr">
        <is>
          <t>Landlord</t>
        </is>
      </c>
      <c r="F5" s="30" t="inlineStr">
        <is>
          <t>Example row</t>
        </is>
      </c>
    </row>
    <row r="6">
      <c r="A6" s="55" t="n"/>
      <c r="B6" s="30" t="n"/>
      <c r="C6" s="31" t="n"/>
      <c r="D6" s="30" t="n"/>
      <c r="E6" s="30" t="n"/>
      <c r="F6" s="30" t="n"/>
    </row>
    <row r="7">
      <c r="A7" s="55" t="n"/>
      <c r="B7" s="30" t="n"/>
      <c r="C7" s="31" t="n"/>
      <c r="D7" s="30" t="n"/>
      <c r="E7" s="30" t="n"/>
      <c r="F7" s="30" t="n"/>
    </row>
    <row r="8">
      <c r="A8" s="55" t="n"/>
      <c r="B8" s="30" t="n"/>
      <c r="C8" s="31" t="n"/>
      <c r="D8" s="30" t="n"/>
      <c r="E8" s="30" t="n"/>
      <c r="F8" s="30" t="n"/>
    </row>
    <row r="9">
      <c r="A9" s="55" t="n"/>
      <c r="B9" s="30" t="n"/>
      <c r="C9" s="31" t="n"/>
      <c r="D9" s="30" t="n"/>
      <c r="E9" s="30" t="n"/>
      <c r="F9" s="30" t="n"/>
    </row>
    <row r="10">
      <c r="A10" s="55" t="n"/>
      <c r="B10" s="30" t="n"/>
      <c r="C10" s="31" t="n"/>
      <c r="D10" s="30" t="n"/>
      <c r="E10" s="30" t="n"/>
      <c r="F10" s="30" t="n"/>
    </row>
    <row r="11">
      <c r="A11" s="55" t="n"/>
      <c r="B11" s="30" t="n"/>
      <c r="C11" s="31" t="n"/>
      <c r="D11" s="30" t="n"/>
      <c r="E11" s="30" t="n"/>
      <c r="F11" s="30" t="n"/>
    </row>
    <row r="12">
      <c r="A12" s="55" t="n"/>
      <c r="B12" s="30" t="n"/>
      <c r="C12" s="31" t="n"/>
      <c r="D12" s="30" t="n"/>
      <c r="E12" s="30" t="n"/>
      <c r="F12" s="30" t="n"/>
    </row>
    <row r="13">
      <c r="A13" s="55" t="n"/>
      <c r="B13" s="30" t="n"/>
      <c r="C13" s="31" t="n"/>
      <c r="D13" s="30" t="n"/>
      <c r="E13" s="30" t="n"/>
      <c r="F13" s="30" t="n"/>
    </row>
    <row r="14">
      <c r="A14" s="55" t="n"/>
      <c r="B14" s="30" t="n"/>
      <c r="C14" s="31" t="n"/>
      <c r="D14" s="30" t="n"/>
      <c r="E14" s="30" t="n"/>
      <c r="F14" s="30" t="n"/>
    </row>
    <row r="15">
      <c r="A15" s="55" t="n"/>
      <c r="B15" s="30" t="n"/>
      <c r="C15" s="31" t="n"/>
      <c r="D15" s="30" t="n"/>
      <c r="E15" s="30" t="n"/>
      <c r="F15" s="30" t="n"/>
    </row>
    <row r="16">
      <c r="A16" s="55" t="n"/>
      <c r="B16" s="30" t="n"/>
      <c r="C16" s="31" t="n"/>
      <c r="D16" s="30" t="n"/>
      <c r="E16" s="30" t="n"/>
      <c r="F16" s="30" t="n"/>
    </row>
    <row r="17">
      <c r="A17" s="55" t="n"/>
      <c r="B17" s="30" t="n"/>
      <c r="C17" s="31" t="n"/>
      <c r="D17" s="30" t="n"/>
      <c r="E17" s="30" t="n"/>
      <c r="F17" s="30" t="n"/>
    </row>
    <row r="18">
      <c r="A18" s="55" t="n"/>
      <c r="B18" s="30" t="n"/>
      <c r="C18" s="31" t="n"/>
      <c r="D18" s="30" t="n"/>
      <c r="E18" s="30" t="n"/>
      <c r="F18" s="30" t="n"/>
    </row>
    <row r="19">
      <c r="A19" s="55" t="n"/>
      <c r="B19" s="30" t="n"/>
      <c r="C19" s="31" t="n"/>
      <c r="D19" s="30" t="n"/>
      <c r="E19" s="30" t="n"/>
      <c r="F19" s="30" t="n"/>
    </row>
    <row r="20">
      <c r="A20" s="55" t="n"/>
      <c r="B20" s="30" t="n"/>
      <c r="C20" s="31" t="n"/>
      <c r="D20" s="30" t="n"/>
      <c r="E20" s="30" t="n"/>
      <c r="F20" s="30" t="n"/>
    </row>
    <row r="21">
      <c r="A21" s="55" t="n"/>
      <c r="B21" s="30" t="n"/>
      <c r="C21" s="31" t="n"/>
      <c r="D21" s="30" t="n"/>
      <c r="E21" s="30" t="n"/>
      <c r="F21" s="30" t="n"/>
    </row>
    <row r="22">
      <c r="A22" s="55" t="n"/>
      <c r="B22" s="30" t="n"/>
      <c r="C22" s="31" t="n"/>
      <c r="D22" s="30" t="n"/>
      <c r="E22" s="30" t="n"/>
      <c r="F22" s="30" t="n"/>
    </row>
    <row r="23">
      <c r="A23" s="55" t="n"/>
      <c r="B23" s="30" t="n"/>
      <c r="C23" s="31" t="n"/>
      <c r="D23" s="30" t="n"/>
      <c r="E23" s="30" t="n"/>
      <c r="F23" s="30" t="n"/>
    </row>
    <row r="24">
      <c r="A24" s="55" t="n"/>
      <c r="B24" s="30" t="n"/>
      <c r="C24" s="31" t="n"/>
      <c r="D24" s="30" t="n"/>
      <c r="E24" s="30" t="n"/>
      <c r="F24" s="30" t="n"/>
    </row>
    <row r="25">
      <c r="A25" s="55" t="n"/>
      <c r="B25" s="30" t="n"/>
      <c r="C25" s="31" t="n"/>
      <c r="D25" s="30" t="n"/>
      <c r="E25" s="30" t="n"/>
      <c r="F25" s="30" t="n"/>
    </row>
    <row r="26">
      <c r="A26" s="55" t="n"/>
      <c r="B26" s="30" t="n"/>
      <c r="C26" s="31" t="n"/>
      <c r="D26" s="30" t="n"/>
      <c r="E26" s="30" t="n"/>
      <c r="F26" s="30" t="n"/>
    </row>
    <row r="27">
      <c r="A27" s="55" t="n"/>
      <c r="B27" s="30" t="n"/>
      <c r="C27" s="31" t="n"/>
      <c r="D27" s="30" t="n"/>
      <c r="E27" s="30" t="n"/>
      <c r="F27" s="30" t="n"/>
    </row>
    <row r="28">
      <c r="A28" s="55" t="n"/>
      <c r="B28" s="30" t="n"/>
      <c r="C28" s="31" t="n"/>
      <c r="D28" s="30" t="n"/>
      <c r="E28" s="30" t="n"/>
      <c r="F28" s="30" t="n"/>
    </row>
    <row r="29">
      <c r="A29" s="55" t="n"/>
      <c r="B29" s="30" t="n"/>
      <c r="C29" s="31" t="n"/>
      <c r="D29" s="30" t="n"/>
      <c r="E29" s="30" t="n"/>
      <c r="F29" s="30" t="n"/>
    </row>
    <row r="30">
      <c r="A30" s="55" t="n"/>
      <c r="B30" s="30" t="n"/>
      <c r="C30" s="31" t="n"/>
      <c r="D30" s="30" t="n"/>
      <c r="E30" s="30" t="n"/>
      <c r="F30" s="30" t="n"/>
    </row>
    <row r="31">
      <c r="A31" s="55" t="n"/>
      <c r="B31" s="30" t="n"/>
      <c r="C31" s="31" t="n"/>
      <c r="D31" s="30" t="n"/>
      <c r="E31" s="30" t="n"/>
      <c r="F31" s="30" t="n"/>
    </row>
    <row r="32">
      <c r="A32" s="55" t="n"/>
      <c r="B32" s="30" t="n"/>
      <c r="C32" s="31" t="n"/>
      <c r="D32" s="30" t="n"/>
      <c r="E32" s="30" t="n"/>
      <c r="F32" s="30" t="n"/>
    </row>
    <row r="33">
      <c r="A33" s="55" t="n"/>
      <c r="B33" s="30" t="n"/>
      <c r="C33" s="31" t="n"/>
      <c r="D33" s="30" t="n"/>
      <c r="E33" s="30" t="n"/>
      <c r="F33" s="30" t="n"/>
    </row>
    <row r="34">
      <c r="A34" s="55" t="n"/>
      <c r="B34" s="30" t="n"/>
      <c r="C34" s="31" t="n"/>
      <c r="D34" s="30" t="n"/>
      <c r="E34" s="30" t="n"/>
      <c r="F34" s="30" t="n"/>
    </row>
    <row r="35">
      <c r="A35" s="55" t="n"/>
      <c r="B35" s="30" t="n"/>
      <c r="C35" s="31" t="n"/>
      <c r="D35" s="30" t="n"/>
      <c r="E35" s="30" t="n"/>
      <c r="F35" s="30" t="n"/>
    </row>
    <row r="36">
      <c r="A36" s="55" t="n"/>
      <c r="B36" s="30" t="n"/>
      <c r="C36" s="31" t="n"/>
      <c r="D36" s="30" t="n"/>
      <c r="E36" s="30" t="n"/>
      <c r="F36" s="30" t="n"/>
    </row>
    <row r="37">
      <c r="A37" s="55" t="n"/>
      <c r="B37" s="30" t="n"/>
      <c r="C37" s="31" t="n"/>
      <c r="D37" s="30" t="n"/>
      <c r="E37" s="30" t="n"/>
      <c r="F37" s="30" t="n"/>
    </row>
    <row r="38">
      <c r="A38" s="55" t="n"/>
      <c r="B38" s="30" t="n"/>
      <c r="C38" s="31" t="n"/>
      <c r="D38" s="30" t="n"/>
      <c r="E38" s="30" t="n"/>
      <c r="F38" s="30" t="n"/>
    </row>
    <row r="39">
      <c r="A39" s="55" t="n"/>
      <c r="B39" s="30" t="n"/>
      <c r="C39" s="31" t="n"/>
      <c r="D39" s="30" t="n"/>
      <c r="E39" s="30" t="n"/>
      <c r="F39" s="30" t="n"/>
    </row>
    <row r="40">
      <c r="A40" s="55" t="n"/>
      <c r="B40" s="30" t="n"/>
      <c r="C40" s="31" t="n"/>
      <c r="D40" s="30" t="n"/>
      <c r="E40" s="30" t="n"/>
      <c r="F40" s="30" t="n"/>
    </row>
    <row r="41">
      <c r="A41" s="55" t="n"/>
      <c r="B41" s="30" t="n"/>
      <c r="C41" s="31" t="n"/>
      <c r="D41" s="30" t="n"/>
      <c r="E41" s="30" t="n"/>
      <c r="F41" s="30" t="n"/>
    </row>
    <row r="42">
      <c r="A42" s="55" t="n"/>
      <c r="B42" s="30" t="n"/>
      <c r="C42" s="31" t="n"/>
      <c r="D42" s="30" t="n"/>
      <c r="E42" s="30" t="n"/>
      <c r="F42" s="30" t="n"/>
    </row>
    <row r="43">
      <c r="A43" s="55" t="n"/>
      <c r="B43" s="30" t="n"/>
      <c r="C43" s="31" t="n"/>
      <c r="D43" s="30" t="n"/>
      <c r="E43" s="30" t="n"/>
      <c r="F43" s="30" t="n"/>
    </row>
    <row r="44">
      <c r="A44" s="55" t="n"/>
      <c r="B44" s="30" t="n"/>
      <c r="C44" s="31" t="n"/>
      <c r="D44" s="30" t="n"/>
      <c r="E44" s="30" t="n"/>
      <c r="F44" s="30" t="n"/>
    </row>
    <row r="45">
      <c r="A45" s="55" t="n"/>
      <c r="B45" s="30" t="n"/>
      <c r="C45" s="31" t="n"/>
      <c r="D45" s="30" t="n"/>
      <c r="E45" s="30" t="n"/>
      <c r="F45" s="30" t="n"/>
    </row>
    <row r="46">
      <c r="A46" s="55" t="n"/>
      <c r="B46" s="30" t="n"/>
      <c r="C46" s="31" t="n"/>
      <c r="D46" s="30" t="n"/>
      <c r="E46" s="30" t="n"/>
      <c r="F46" s="30" t="n"/>
    </row>
    <row r="47">
      <c r="A47" s="55" t="n"/>
      <c r="B47" s="30" t="n"/>
      <c r="C47" s="31" t="n"/>
      <c r="D47" s="30" t="n"/>
      <c r="E47" s="30" t="n"/>
      <c r="F47" s="30" t="n"/>
    </row>
    <row r="48">
      <c r="A48" s="55" t="n"/>
      <c r="B48" s="30" t="n"/>
      <c r="C48" s="31" t="n"/>
      <c r="D48" s="30" t="n"/>
      <c r="E48" s="30" t="n"/>
      <c r="F48" s="30" t="n"/>
    </row>
    <row r="49">
      <c r="A49" s="55" t="n"/>
      <c r="B49" s="30" t="n"/>
      <c r="C49" s="31" t="n"/>
      <c r="D49" s="30" t="n"/>
      <c r="E49" s="30" t="n"/>
      <c r="F49" s="30" t="n"/>
    </row>
    <row r="50">
      <c r="A50" s="55" t="n"/>
      <c r="B50" s="30" t="n"/>
      <c r="C50" s="31" t="n"/>
      <c r="D50" s="30" t="n"/>
      <c r="E50" s="30" t="n"/>
      <c r="F50" s="30" t="n"/>
    </row>
    <row r="51">
      <c r="A51" s="55" t="n"/>
      <c r="B51" s="30" t="n"/>
      <c r="C51" s="31" t="n"/>
      <c r="D51" s="30" t="n"/>
      <c r="E51" s="30" t="n"/>
      <c r="F51" s="30" t="n"/>
    </row>
    <row r="52">
      <c r="A52" s="55" t="n"/>
      <c r="B52" s="30" t="n"/>
      <c r="C52" s="31" t="n"/>
      <c r="D52" s="30" t="n"/>
      <c r="E52" s="30" t="n"/>
      <c r="F52" s="30" t="n"/>
    </row>
    <row r="53">
      <c r="A53" s="55" t="n"/>
      <c r="B53" s="30" t="n"/>
      <c r="C53" s="31" t="n"/>
      <c r="D53" s="30" t="n"/>
      <c r="E53" s="30" t="n"/>
      <c r="F53" s="30" t="n"/>
    </row>
    <row r="54">
      <c r="A54" s="55" t="n"/>
      <c r="B54" s="30" t="n"/>
      <c r="C54" s="31" t="n"/>
      <c r="D54" s="30" t="n"/>
      <c r="E54" s="30" t="n"/>
      <c r="F54" s="30" t="n"/>
    </row>
    <row r="55">
      <c r="A55" s="55" t="n"/>
      <c r="B55" s="30" t="n"/>
      <c r="C55" s="31" t="n"/>
      <c r="D55" s="30" t="n"/>
      <c r="E55" s="30" t="n"/>
      <c r="F55" s="30" t="n"/>
    </row>
    <row r="56">
      <c r="A56" s="55" t="n"/>
      <c r="B56" s="30" t="n"/>
      <c r="C56" s="31" t="n"/>
      <c r="D56" s="30" t="n"/>
      <c r="E56" s="30" t="n"/>
      <c r="F56" s="30" t="n"/>
    </row>
    <row r="57">
      <c r="A57" s="55" t="n"/>
      <c r="B57" s="30" t="n"/>
      <c r="C57" s="31" t="n"/>
      <c r="D57" s="30" t="n"/>
      <c r="E57" s="30" t="n"/>
      <c r="F57" s="30" t="n"/>
    </row>
    <row r="58">
      <c r="A58" s="55" t="n"/>
      <c r="B58" s="30" t="n"/>
      <c r="C58" s="31" t="n"/>
      <c r="D58" s="30" t="n"/>
      <c r="E58" s="30" t="n"/>
      <c r="F58" s="30" t="n"/>
    </row>
    <row r="59">
      <c r="A59" s="55" t="n"/>
      <c r="B59" s="30" t="n"/>
      <c r="C59" s="31" t="n"/>
      <c r="D59" s="30" t="n"/>
      <c r="E59" s="30" t="n"/>
      <c r="F59" s="30" t="n"/>
    </row>
    <row r="60">
      <c r="A60" s="55" t="n"/>
      <c r="B60" s="30" t="n"/>
      <c r="C60" s="31" t="n"/>
      <c r="D60" s="30" t="n"/>
      <c r="E60" s="30" t="n"/>
      <c r="F60" s="30" t="n"/>
    </row>
    <row r="61">
      <c r="A61" s="55" t="n"/>
      <c r="B61" s="30" t="n"/>
      <c r="C61" s="31" t="n"/>
      <c r="D61" s="30" t="n"/>
      <c r="E61" s="30" t="n"/>
      <c r="F61" s="30" t="n"/>
    </row>
    <row r="62">
      <c r="A62" s="55" t="n"/>
      <c r="B62" s="30" t="n"/>
      <c r="C62" s="31" t="n"/>
      <c r="D62" s="30" t="n"/>
      <c r="E62" s="30" t="n"/>
      <c r="F62" s="30" t="n"/>
    </row>
    <row r="63">
      <c r="A63" s="55" t="n"/>
      <c r="B63" s="30" t="n"/>
      <c r="C63" s="31" t="n"/>
      <c r="D63" s="30" t="n"/>
      <c r="E63" s="30" t="n"/>
      <c r="F63" s="30" t="n"/>
    </row>
    <row r="64">
      <c r="A64" s="55" t="n"/>
      <c r="B64" s="30" t="n"/>
      <c r="C64" s="31" t="n"/>
      <c r="D64" s="30" t="n"/>
      <c r="E64" s="30" t="n"/>
      <c r="F64" s="30" t="n"/>
    </row>
    <row r="65"/>
    <row r="66">
      <c r="A66" s="19" t="inlineStr">
        <is>
          <t>SUMMARY BY CATEGORY</t>
        </is>
      </c>
    </row>
    <row r="67">
      <c r="A67" s="56" t="inlineStr">
        <is>
          <t>Rent</t>
        </is>
      </c>
      <c r="B67" s="50">
        <f>SUMIF(B5:B64,A67,C5:C64)</f>
        <v/>
      </c>
    </row>
    <row r="68">
      <c r="A68" s="56" t="inlineStr">
        <is>
          <t>Salaries</t>
        </is>
      </c>
      <c r="B68" s="50">
        <f>SUMIF(B5:B64,A68,C5:C64)</f>
        <v/>
      </c>
    </row>
    <row r="69">
      <c r="A69" s="56" t="inlineStr">
        <is>
          <t>Electricity</t>
        </is>
      </c>
      <c r="B69" s="50">
        <f>SUMIF(B5:B64,A69,C5:C64)</f>
        <v/>
      </c>
    </row>
    <row r="70">
      <c r="A70" s="56" t="inlineStr">
        <is>
          <t>Water</t>
        </is>
      </c>
      <c r="B70" s="50">
        <f>SUMIF(B5:B64,A70,C5:C64)</f>
        <v/>
      </c>
    </row>
    <row r="71">
      <c r="A71" s="56" t="inlineStr">
        <is>
          <t>Internet</t>
        </is>
      </c>
      <c r="B71" s="50">
        <f>SUMIF(B5:B64,A71,C5:C64)</f>
        <v/>
      </c>
    </row>
    <row r="72">
      <c r="A72" s="56" t="inlineStr">
        <is>
          <t>Cleaning</t>
        </is>
      </c>
      <c r="B72" s="50">
        <f>SUMIF(B5:B64,A72,C5:C64)</f>
        <v/>
      </c>
    </row>
    <row r="73">
      <c r="A73" s="56" t="inlineStr">
        <is>
          <t>Packaging</t>
        </is>
      </c>
      <c r="B73" s="50">
        <f>SUMIF(B5:B64,A73,C5:C64)</f>
        <v/>
      </c>
    </row>
    <row r="74">
      <c r="A74" s="56" t="inlineStr">
        <is>
          <t>Transportation</t>
        </is>
      </c>
      <c r="B74" s="50">
        <f>SUMIF(B5:B64,A74,C5:C64)</f>
        <v/>
      </c>
    </row>
    <row r="75">
      <c r="A75" s="56" t="inlineStr">
        <is>
          <t>Maintenance</t>
        </is>
      </c>
      <c r="B75" s="50">
        <f>SUMIF(B5:B64,A75,C5:C64)</f>
        <v/>
      </c>
    </row>
    <row r="76">
      <c r="A76" s="56" t="inlineStr">
        <is>
          <t>Taxes</t>
        </is>
      </c>
      <c r="B76" s="50">
        <f>SUMIF(B5:B64,A76,C5:C64)</f>
        <v/>
      </c>
    </row>
    <row r="77">
      <c r="A77" s="56" t="inlineStr">
        <is>
          <t>Marketing</t>
        </is>
      </c>
      <c r="B77" s="50">
        <f>SUMIF(B5:B64,A77,C5:C64)</f>
        <v/>
      </c>
    </row>
    <row r="78">
      <c r="A78" s="56" t="inlineStr">
        <is>
          <t>Unexpected</t>
        </is>
      </c>
      <c r="B78" s="50">
        <f>SUMIF(B5:B64,A78,C5:C64)</f>
        <v/>
      </c>
    </row>
    <row r="79">
      <c r="A79" s="56" t="inlineStr">
        <is>
          <t>Other</t>
        </is>
      </c>
      <c r="B79" s="50">
        <f>SUMIF(B5:B64,A79,C5:C64)</f>
        <v/>
      </c>
    </row>
    <row r="80">
      <c r="A80" s="28" t="inlineStr">
        <is>
          <t>TOTAL LOGGED EXPENSES</t>
        </is>
      </c>
      <c r="B80" s="29">
        <f>SUM(B67:B79)</f>
        <v/>
      </c>
    </row>
    <row r="81"/>
    <row r="82">
      <c r="A82" s="11" t="inlineStr">
        <is>
          <t>Log actual expenses here as they happen. The category summary and total update automatically via SUMIF formulas.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3">
    <mergeCell ref="A2:F2"/>
    <mergeCell ref="A66:B66"/>
    <mergeCell ref="A1:F1"/>
  </mergeCells>
  <dataValidations count="2">
    <dataValidation sqref="B5:B64" showDropDown="0" showInputMessage="0" showErrorMessage="0" allowBlank="1" type="list">
      <formula1>"Rent,Salaries,Electricity,Water,Internet,Cleaning,Packaging,Transportation,Maintenance,Taxes,Marketing,Unexpected,Other"</formula1>
    </dataValidation>
    <dataValidation sqref="D5:D64" showDropDown="0" showInputMessage="0" showErrorMessage="0" allowBlank="1" type="list">
      <formula1>"Cash,Bank Transfer,Credit Card,Mobile Wallet,Cheque"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K9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8" customWidth="1" min="4" max="4"/>
    <col width="12" customWidth="1" min="5" max="5"/>
    <col width="8" customWidth="1" min="6" max="6"/>
    <col width="12" customWidth="1" min="7" max="7"/>
    <col width="10" customWidth="1" min="8" max="8"/>
    <col width="12" customWidth="1" min="9" max="9"/>
    <col width="15" customWidth="1" min="10" max="10"/>
    <col width="14" customWidth="1" min="11" max="11"/>
  </cols>
  <sheetData>
    <row r="1" ht="32" customHeight="1">
      <c r="A1" s="12" t="inlineStr">
        <is>
          <t>SALES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13" t="inlineStr">
        <is>
          <t>Daily transaction log with automatic summaries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/>
    <row r="4" ht="30" customHeight="1">
      <c r="A4" s="4" t="inlineStr">
        <is>
          <t>Date</t>
        </is>
      </c>
      <c r="B4" s="4" t="inlineStr">
        <is>
          <t>Invoice #</t>
        </is>
      </c>
      <c r="C4" s="4" t="inlineStr">
        <is>
          <t>Customer</t>
        </is>
      </c>
      <c r="D4" s="4" t="inlineStr">
        <is>
          <t>Product</t>
        </is>
      </c>
      <c r="E4" s="4" t="inlineStr">
        <is>
          <t>Category</t>
        </is>
      </c>
      <c r="F4" s="4" t="inlineStr">
        <is>
          <t>Size</t>
        </is>
      </c>
      <c r="G4" s="4" t="inlineStr">
        <is>
          <t>Selling Price</t>
        </is>
      </c>
      <c r="H4" s="4" t="inlineStr">
        <is>
          <t>Discount</t>
        </is>
      </c>
      <c r="I4" s="4" t="inlineStr">
        <is>
          <t>Net Price</t>
        </is>
      </c>
      <c r="J4" s="4" t="inlineStr">
        <is>
          <t>Payment Method</t>
        </is>
      </c>
      <c r="K4" s="4" t="inlineStr">
        <is>
          <t>Salesperson</t>
        </is>
      </c>
    </row>
    <row r="5">
      <c r="A5" s="55" t="n">
        <v>46239</v>
      </c>
      <c r="B5" s="30" t="inlineStr">
        <is>
          <t>INV-0001</t>
        </is>
      </c>
      <c r="C5" s="30" t="inlineStr">
        <is>
          <t>Walk-in Customer</t>
        </is>
      </c>
      <c r="D5" s="30" t="inlineStr">
        <is>
          <t>Model AN-101</t>
        </is>
      </c>
      <c r="E5" s="30" t="inlineStr">
        <is>
          <t>Casual</t>
        </is>
      </c>
      <c r="F5" s="30" t="inlineStr">
        <is>
          <t>42</t>
        </is>
      </c>
      <c r="G5" s="31" t="n">
        <v>420</v>
      </c>
      <c r="H5" s="31" t="n">
        <v>0</v>
      </c>
      <c r="I5" s="32">
        <f>IF(G5="","",G5-H5)</f>
        <v/>
      </c>
      <c r="J5" s="30" t="inlineStr">
        <is>
          <t>Cash</t>
        </is>
      </c>
      <c r="K5" s="30" t="inlineStr">
        <is>
          <t>Example row</t>
        </is>
      </c>
    </row>
    <row r="6">
      <c r="A6" s="55" t="n"/>
      <c r="B6" s="30" t="n"/>
      <c r="C6" s="30" t="n"/>
      <c r="D6" s="30" t="n"/>
      <c r="E6" s="30" t="n"/>
      <c r="F6" s="30" t="n"/>
      <c r="G6" s="31" t="n"/>
      <c r="H6" s="31" t="n"/>
      <c r="I6" s="32">
        <f>IF(G6="","",G6-H6)</f>
        <v/>
      </c>
      <c r="J6" s="30" t="n"/>
      <c r="K6" s="30" t="n"/>
    </row>
    <row r="7">
      <c r="A7" s="55" t="n"/>
      <c r="B7" s="30" t="n"/>
      <c r="C7" s="30" t="n"/>
      <c r="D7" s="30" t="n"/>
      <c r="E7" s="30" t="n"/>
      <c r="F7" s="30" t="n"/>
      <c r="G7" s="31" t="n"/>
      <c r="H7" s="31" t="n"/>
      <c r="I7" s="32">
        <f>IF(G7="","",G7-H7)</f>
        <v/>
      </c>
      <c r="J7" s="30" t="n"/>
      <c r="K7" s="30" t="n"/>
    </row>
    <row r="8">
      <c r="A8" s="55" t="n"/>
      <c r="B8" s="30" t="n"/>
      <c r="C8" s="30" t="n"/>
      <c r="D8" s="30" t="n"/>
      <c r="E8" s="30" t="n"/>
      <c r="F8" s="30" t="n"/>
      <c r="G8" s="31" t="n"/>
      <c r="H8" s="31" t="n"/>
      <c r="I8" s="32">
        <f>IF(G8="","",G8-H8)</f>
        <v/>
      </c>
      <c r="J8" s="30" t="n"/>
      <c r="K8" s="30" t="n"/>
    </row>
    <row r="9">
      <c r="A9" s="55" t="n"/>
      <c r="B9" s="30" t="n"/>
      <c r="C9" s="30" t="n"/>
      <c r="D9" s="30" t="n"/>
      <c r="E9" s="30" t="n"/>
      <c r="F9" s="30" t="n"/>
      <c r="G9" s="31" t="n"/>
      <c r="H9" s="31" t="n"/>
      <c r="I9" s="32">
        <f>IF(G9="","",G9-H9)</f>
        <v/>
      </c>
      <c r="J9" s="30" t="n"/>
      <c r="K9" s="30" t="n"/>
    </row>
    <row r="10">
      <c r="A10" s="55" t="n"/>
      <c r="B10" s="30" t="n"/>
      <c r="C10" s="30" t="n"/>
      <c r="D10" s="30" t="n"/>
      <c r="E10" s="30" t="n"/>
      <c r="F10" s="30" t="n"/>
      <c r="G10" s="31" t="n"/>
      <c r="H10" s="31" t="n"/>
      <c r="I10" s="32">
        <f>IF(G10="","",G10-H10)</f>
        <v/>
      </c>
      <c r="J10" s="30" t="n"/>
      <c r="K10" s="30" t="n"/>
    </row>
    <row r="11">
      <c r="A11" s="55" t="n"/>
      <c r="B11" s="30" t="n"/>
      <c r="C11" s="30" t="n"/>
      <c r="D11" s="30" t="n"/>
      <c r="E11" s="30" t="n"/>
      <c r="F11" s="30" t="n"/>
      <c r="G11" s="31" t="n"/>
      <c r="H11" s="31" t="n"/>
      <c r="I11" s="32">
        <f>IF(G11="","",G11-H11)</f>
        <v/>
      </c>
      <c r="J11" s="30" t="n"/>
      <c r="K11" s="30" t="n"/>
    </row>
    <row r="12">
      <c r="A12" s="55" t="n"/>
      <c r="B12" s="30" t="n"/>
      <c r="C12" s="30" t="n"/>
      <c r="D12" s="30" t="n"/>
      <c r="E12" s="30" t="n"/>
      <c r="F12" s="30" t="n"/>
      <c r="G12" s="31" t="n"/>
      <c r="H12" s="31" t="n"/>
      <c r="I12" s="32">
        <f>IF(G12="","",G12-H12)</f>
        <v/>
      </c>
      <c r="J12" s="30" t="n"/>
      <c r="K12" s="30" t="n"/>
    </row>
    <row r="13">
      <c r="A13" s="55" t="n"/>
      <c r="B13" s="30" t="n"/>
      <c r="C13" s="30" t="n"/>
      <c r="D13" s="30" t="n"/>
      <c r="E13" s="30" t="n"/>
      <c r="F13" s="30" t="n"/>
      <c r="G13" s="31" t="n"/>
      <c r="H13" s="31" t="n"/>
      <c r="I13" s="32">
        <f>IF(G13="","",G13-H13)</f>
        <v/>
      </c>
      <c r="J13" s="30" t="n"/>
      <c r="K13" s="30" t="n"/>
    </row>
    <row r="14">
      <c r="A14" s="55" t="n"/>
      <c r="B14" s="30" t="n"/>
      <c r="C14" s="30" t="n"/>
      <c r="D14" s="30" t="n"/>
      <c r="E14" s="30" t="n"/>
      <c r="F14" s="30" t="n"/>
      <c r="G14" s="31" t="n"/>
      <c r="H14" s="31" t="n"/>
      <c r="I14" s="32">
        <f>IF(G14="","",G14-H14)</f>
        <v/>
      </c>
      <c r="J14" s="30" t="n"/>
      <c r="K14" s="30" t="n"/>
    </row>
    <row r="15">
      <c r="A15" s="55" t="n"/>
      <c r="B15" s="30" t="n"/>
      <c r="C15" s="30" t="n"/>
      <c r="D15" s="30" t="n"/>
      <c r="E15" s="30" t="n"/>
      <c r="F15" s="30" t="n"/>
      <c r="G15" s="31" t="n"/>
      <c r="H15" s="31" t="n"/>
      <c r="I15" s="32">
        <f>IF(G15="","",G15-H15)</f>
        <v/>
      </c>
      <c r="J15" s="30" t="n"/>
      <c r="K15" s="30" t="n"/>
    </row>
    <row r="16">
      <c r="A16" s="55" t="n"/>
      <c r="B16" s="30" t="n"/>
      <c r="C16" s="30" t="n"/>
      <c r="D16" s="30" t="n"/>
      <c r="E16" s="30" t="n"/>
      <c r="F16" s="30" t="n"/>
      <c r="G16" s="31" t="n"/>
      <c r="H16" s="31" t="n"/>
      <c r="I16" s="32">
        <f>IF(G16="","",G16-H16)</f>
        <v/>
      </c>
      <c r="J16" s="30" t="n"/>
      <c r="K16" s="30" t="n"/>
    </row>
    <row r="17">
      <c r="A17" s="55" t="n"/>
      <c r="B17" s="30" t="n"/>
      <c r="C17" s="30" t="n"/>
      <c r="D17" s="30" t="n"/>
      <c r="E17" s="30" t="n"/>
      <c r="F17" s="30" t="n"/>
      <c r="G17" s="31" t="n"/>
      <c r="H17" s="31" t="n"/>
      <c r="I17" s="32">
        <f>IF(G17="","",G17-H17)</f>
        <v/>
      </c>
      <c r="J17" s="30" t="n"/>
      <c r="K17" s="30" t="n"/>
    </row>
    <row r="18">
      <c r="A18" s="55" t="n"/>
      <c r="B18" s="30" t="n"/>
      <c r="C18" s="30" t="n"/>
      <c r="D18" s="30" t="n"/>
      <c r="E18" s="30" t="n"/>
      <c r="F18" s="30" t="n"/>
      <c r="G18" s="31" t="n"/>
      <c r="H18" s="31" t="n"/>
      <c r="I18" s="32">
        <f>IF(G18="","",G18-H18)</f>
        <v/>
      </c>
      <c r="J18" s="30" t="n"/>
      <c r="K18" s="30" t="n"/>
    </row>
    <row r="19">
      <c r="A19" s="55" t="n"/>
      <c r="B19" s="30" t="n"/>
      <c r="C19" s="30" t="n"/>
      <c r="D19" s="30" t="n"/>
      <c r="E19" s="30" t="n"/>
      <c r="F19" s="30" t="n"/>
      <c r="G19" s="31" t="n"/>
      <c r="H19" s="31" t="n"/>
      <c r="I19" s="32">
        <f>IF(G19="","",G19-H19)</f>
        <v/>
      </c>
      <c r="J19" s="30" t="n"/>
      <c r="K19" s="30" t="n"/>
    </row>
    <row r="20">
      <c r="A20" s="55" t="n"/>
      <c r="B20" s="30" t="n"/>
      <c r="C20" s="30" t="n"/>
      <c r="D20" s="30" t="n"/>
      <c r="E20" s="30" t="n"/>
      <c r="F20" s="30" t="n"/>
      <c r="G20" s="31" t="n"/>
      <c r="H20" s="31" t="n"/>
      <c r="I20" s="32">
        <f>IF(G20="","",G20-H20)</f>
        <v/>
      </c>
      <c r="J20" s="30" t="n"/>
      <c r="K20" s="30" t="n"/>
    </row>
    <row r="21">
      <c r="A21" s="55" t="n"/>
      <c r="B21" s="30" t="n"/>
      <c r="C21" s="30" t="n"/>
      <c r="D21" s="30" t="n"/>
      <c r="E21" s="30" t="n"/>
      <c r="F21" s="30" t="n"/>
      <c r="G21" s="31" t="n"/>
      <c r="H21" s="31" t="n"/>
      <c r="I21" s="32">
        <f>IF(G21="","",G21-H21)</f>
        <v/>
      </c>
      <c r="J21" s="30" t="n"/>
      <c r="K21" s="30" t="n"/>
    </row>
    <row r="22">
      <c r="A22" s="55" t="n"/>
      <c r="B22" s="30" t="n"/>
      <c r="C22" s="30" t="n"/>
      <c r="D22" s="30" t="n"/>
      <c r="E22" s="30" t="n"/>
      <c r="F22" s="30" t="n"/>
      <c r="G22" s="31" t="n"/>
      <c r="H22" s="31" t="n"/>
      <c r="I22" s="32">
        <f>IF(G22="","",G22-H22)</f>
        <v/>
      </c>
      <c r="J22" s="30" t="n"/>
      <c r="K22" s="30" t="n"/>
    </row>
    <row r="23">
      <c r="A23" s="55" t="n"/>
      <c r="B23" s="30" t="n"/>
      <c r="C23" s="30" t="n"/>
      <c r="D23" s="30" t="n"/>
      <c r="E23" s="30" t="n"/>
      <c r="F23" s="30" t="n"/>
      <c r="G23" s="31" t="n"/>
      <c r="H23" s="31" t="n"/>
      <c r="I23" s="32">
        <f>IF(G23="","",G23-H23)</f>
        <v/>
      </c>
      <c r="J23" s="30" t="n"/>
      <c r="K23" s="30" t="n"/>
    </row>
    <row r="24">
      <c r="A24" s="55" t="n"/>
      <c r="B24" s="30" t="n"/>
      <c r="C24" s="30" t="n"/>
      <c r="D24" s="30" t="n"/>
      <c r="E24" s="30" t="n"/>
      <c r="F24" s="30" t="n"/>
      <c r="G24" s="31" t="n"/>
      <c r="H24" s="31" t="n"/>
      <c r="I24" s="32">
        <f>IF(G24="","",G24-H24)</f>
        <v/>
      </c>
      <c r="J24" s="30" t="n"/>
      <c r="K24" s="30" t="n"/>
    </row>
    <row r="25">
      <c r="A25" s="55" t="n"/>
      <c r="B25" s="30" t="n"/>
      <c r="C25" s="30" t="n"/>
      <c r="D25" s="30" t="n"/>
      <c r="E25" s="30" t="n"/>
      <c r="F25" s="30" t="n"/>
      <c r="G25" s="31" t="n"/>
      <c r="H25" s="31" t="n"/>
      <c r="I25" s="32">
        <f>IF(G25="","",G25-H25)</f>
        <v/>
      </c>
      <c r="J25" s="30" t="n"/>
      <c r="K25" s="30" t="n"/>
    </row>
    <row r="26">
      <c r="A26" s="55" t="n"/>
      <c r="B26" s="30" t="n"/>
      <c r="C26" s="30" t="n"/>
      <c r="D26" s="30" t="n"/>
      <c r="E26" s="30" t="n"/>
      <c r="F26" s="30" t="n"/>
      <c r="G26" s="31" t="n"/>
      <c r="H26" s="31" t="n"/>
      <c r="I26" s="32">
        <f>IF(G26="","",G26-H26)</f>
        <v/>
      </c>
      <c r="J26" s="30" t="n"/>
      <c r="K26" s="30" t="n"/>
    </row>
    <row r="27">
      <c r="A27" s="55" t="n"/>
      <c r="B27" s="30" t="n"/>
      <c r="C27" s="30" t="n"/>
      <c r="D27" s="30" t="n"/>
      <c r="E27" s="30" t="n"/>
      <c r="F27" s="30" t="n"/>
      <c r="G27" s="31" t="n"/>
      <c r="H27" s="31" t="n"/>
      <c r="I27" s="32">
        <f>IF(G27="","",G27-H27)</f>
        <v/>
      </c>
      <c r="J27" s="30" t="n"/>
      <c r="K27" s="30" t="n"/>
    </row>
    <row r="28">
      <c r="A28" s="55" t="n"/>
      <c r="B28" s="30" t="n"/>
      <c r="C28" s="30" t="n"/>
      <c r="D28" s="30" t="n"/>
      <c r="E28" s="30" t="n"/>
      <c r="F28" s="30" t="n"/>
      <c r="G28" s="31" t="n"/>
      <c r="H28" s="31" t="n"/>
      <c r="I28" s="32">
        <f>IF(G28="","",G28-H28)</f>
        <v/>
      </c>
      <c r="J28" s="30" t="n"/>
      <c r="K28" s="30" t="n"/>
    </row>
    <row r="29">
      <c r="A29" s="55" t="n"/>
      <c r="B29" s="30" t="n"/>
      <c r="C29" s="30" t="n"/>
      <c r="D29" s="30" t="n"/>
      <c r="E29" s="30" t="n"/>
      <c r="F29" s="30" t="n"/>
      <c r="G29" s="31" t="n"/>
      <c r="H29" s="31" t="n"/>
      <c r="I29" s="32">
        <f>IF(G29="","",G29-H29)</f>
        <v/>
      </c>
      <c r="J29" s="30" t="n"/>
      <c r="K29" s="30" t="n"/>
    </row>
    <row r="30">
      <c r="A30" s="55" t="n"/>
      <c r="B30" s="30" t="n"/>
      <c r="C30" s="30" t="n"/>
      <c r="D30" s="30" t="n"/>
      <c r="E30" s="30" t="n"/>
      <c r="F30" s="30" t="n"/>
      <c r="G30" s="31" t="n"/>
      <c r="H30" s="31" t="n"/>
      <c r="I30" s="32">
        <f>IF(G30="","",G30-H30)</f>
        <v/>
      </c>
      <c r="J30" s="30" t="n"/>
      <c r="K30" s="30" t="n"/>
    </row>
    <row r="31">
      <c r="A31" s="55" t="n"/>
      <c r="B31" s="30" t="n"/>
      <c r="C31" s="30" t="n"/>
      <c r="D31" s="30" t="n"/>
      <c r="E31" s="30" t="n"/>
      <c r="F31" s="30" t="n"/>
      <c r="G31" s="31" t="n"/>
      <c r="H31" s="31" t="n"/>
      <c r="I31" s="32">
        <f>IF(G31="","",G31-H31)</f>
        <v/>
      </c>
      <c r="J31" s="30" t="n"/>
      <c r="K31" s="30" t="n"/>
    </row>
    <row r="32">
      <c r="A32" s="55" t="n"/>
      <c r="B32" s="30" t="n"/>
      <c r="C32" s="30" t="n"/>
      <c r="D32" s="30" t="n"/>
      <c r="E32" s="30" t="n"/>
      <c r="F32" s="30" t="n"/>
      <c r="G32" s="31" t="n"/>
      <c r="H32" s="31" t="n"/>
      <c r="I32" s="32">
        <f>IF(G32="","",G32-H32)</f>
        <v/>
      </c>
      <c r="J32" s="30" t="n"/>
      <c r="K32" s="30" t="n"/>
    </row>
    <row r="33">
      <c r="A33" s="55" t="n"/>
      <c r="B33" s="30" t="n"/>
      <c r="C33" s="30" t="n"/>
      <c r="D33" s="30" t="n"/>
      <c r="E33" s="30" t="n"/>
      <c r="F33" s="30" t="n"/>
      <c r="G33" s="31" t="n"/>
      <c r="H33" s="31" t="n"/>
      <c r="I33" s="32">
        <f>IF(G33="","",G33-H33)</f>
        <v/>
      </c>
      <c r="J33" s="30" t="n"/>
      <c r="K33" s="30" t="n"/>
    </row>
    <row r="34">
      <c r="A34" s="55" t="n"/>
      <c r="B34" s="30" t="n"/>
      <c r="C34" s="30" t="n"/>
      <c r="D34" s="30" t="n"/>
      <c r="E34" s="30" t="n"/>
      <c r="F34" s="30" t="n"/>
      <c r="G34" s="31" t="n"/>
      <c r="H34" s="31" t="n"/>
      <c r="I34" s="32">
        <f>IF(G34="","",G34-H34)</f>
        <v/>
      </c>
      <c r="J34" s="30" t="n"/>
      <c r="K34" s="30" t="n"/>
    </row>
    <row r="35">
      <c r="A35" s="55" t="n"/>
      <c r="B35" s="30" t="n"/>
      <c r="C35" s="30" t="n"/>
      <c r="D35" s="30" t="n"/>
      <c r="E35" s="30" t="n"/>
      <c r="F35" s="30" t="n"/>
      <c r="G35" s="31" t="n"/>
      <c r="H35" s="31" t="n"/>
      <c r="I35" s="32">
        <f>IF(G35="","",G35-H35)</f>
        <v/>
      </c>
      <c r="J35" s="30" t="n"/>
      <c r="K35" s="30" t="n"/>
    </row>
    <row r="36">
      <c r="A36" s="55" t="n"/>
      <c r="B36" s="30" t="n"/>
      <c r="C36" s="30" t="n"/>
      <c r="D36" s="30" t="n"/>
      <c r="E36" s="30" t="n"/>
      <c r="F36" s="30" t="n"/>
      <c r="G36" s="31" t="n"/>
      <c r="H36" s="31" t="n"/>
      <c r="I36" s="32">
        <f>IF(G36="","",G36-H36)</f>
        <v/>
      </c>
      <c r="J36" s="30" t="n"/>
      <c r="K36" s="30" t="n"/>
    </row>
    <row r="37">
      <c r="A37" s="55" t="n"/>
      <c r="B37" s="30" t="n"/>
      <c r="C37" s="30" t="n"/>
      <c r="D37" s="30" t="n"/>
      <c r="E37" s="30" t="n"/>
      <c r="F37" s="30" t="n"/>
      <c r="G37" s="31" t="n"/>
      <c r="H37" s="31" t="n"/>
      <c r="I37" s="32">
        <f>IF(G37="","",G37-H37)</f>
        <v/>
      </c>
      <c r="J37" s="30" t="n"/>
      <c r="K37" s="30" t="n"/>
    </row>
    <row r="38">
      <c r="A38" s="55" t="n"/>
      <c r="B38" s="30" t="n"/>
      <c r="C38" s="30" t="n"/>
      <c r="D38" s="30" t="n"/>
      <c r="E38" s="30" t="n"/>
      <c r="F38" s="30" t="n"/>
      <c r="G38" s="31" t="n"/>
      <c r="H38" s="31" t="n"/>
      <c r="I38" s="32">
        <f>IF(G38="","",G38-H38)</f>
        <v/>
      </c>
      <c r="J38" s="30" t="n"/>
      <c r="K38" s="30" t="n"/>
    </row>
    <row r="39">
      <c r="A39" s="55" t="n"/>
      <c r="B39" s="30" t="n"/>
      <c r="C39" s="30" t="n"/>
      <c r="D39" s="30" t="n"/>
      <c r="E39" s="30" t="n"/>
      <c r="F39" s="30" t="n"/>
      <c r="G39" s="31" t="n"/>
      <c r="H39" s="31" t="n"/>
      <c r="I39" s="32">
        <f>IF(G39="","",G39-H39)</f>
        <v/>
      </c>
      <c r="J39" s="30" t="n"/>
      <c r="K39" s="30" t="n"/>
    </row>
    <row r="40">
      <c r="A40" s="55" t="n"/>
      <c r="B40" s="30" t="n"/>
      <c r="C40" s="30" t="n"/>
      <c r="D40" s="30" t="n"/>
      <c r="E40" s="30" t="n"/>
      <c r="F40" s="30" t="n"/>
      <c r="G40" s="31" t="n"/>
      <c r="H40" s="31" t="n"/>
      <c r="I40" s="32">
        <f>IF(G40="","",G40-H40)</f>
        <v/>
      </c>
      <c r="J40" s="30" t="n"/>
      <c r="K40" s="30" t="n"/>
    </row>
    <row r="41">
      <c r="A41" s="55" t="n"/>
      <c r="B41" s="30" t="n"/>
      <c r="C41" s="30" t="n"/>
      <c r="D41" s="30" t="n"/>
      <c r="E41" s="30" t="n"/>
      <c r="F41" s="30" t="n"/>
      <c r="G41" s="31" t="n"/>
      <c r="H41" s="31" t="n"/>
      <c r="I41" s="32">
        <f>IF(G41="","",G41-H41)</f>
        <v/>
      </c>
      <c r="J41" s="30" t="n"/>
      <c r="K41" s="30" t="n"/>
    </row>
    <row r="42">
      <c r="A42" s="55" t="n"/>
      <c r="B42" s="30" t="n"/>
      <c r="C42" s="30" t="n"/>
      <c r="D42" s="30" t="n"/>
      <c r="E42" s="30" t="n"/>
      <c r="F42" s="30" t="n"/>
      <c r="G42" s="31" t="n"/>
      <c r="H42" s="31" t="n"/>
      <c r="I42" s="32">
        <f>IF(G42="","",G42-H42)</f>
        <v/>
      </c>
      <c r="J42" s="30" t="n"/>
      <c r="K42" s="30" t="n"/>
    </row>
    <row r="43">
      <c r="A43" s="55" t="n"/>
      <c r="B43" s="30" t="n"/>
      <c r="C43" s="30" t="n"/>
      <c r="D43" s="30" t="n"/>
      <c r="E43" s="30" t="n"/>
      <c r="F43" s="30" t="n"/>
      <c r="G43" s="31" t="n"/>
      <c r="H43" s="31" t="n"/>
      <c r="I43" s="32">
        <f>IF(G43="","",G43-H43)</f>
        <v/>
      </c>
      <c r="J43" s="30" t="n"/>
      <c r="K43" s="30" t="n"/>
    </row>
    <row r="44">
      <c r="A44" s="55" t="n"/>
      <c r="B44" s="30" t="n"/>
      <c r="C44" s="30" t="n"/>
      <c r="D44" s="30" t="n"/>
      <c r="E44" s="30" t="n"/>
      <c r="F44" s="30" t="n"/>
      <c r="G44" s="31" t="n"/>
      <c r="H44" s="31" t="n"/>
      <c r="I44" s="32">
        <f>IF(G44="","",G44-H44)</f>
        <v/>
      </c>
      <c r="J44" s="30" t="n"/>
      <c r="K44" s="30" t="n"/>
    </row>
    <row r="45">
      <c r="A45" s="55" t="n"/>
      <c r="B45" s="30" t="n"/>
      <c r="C45" s="30" t="n"/>
      <c r="D45" s="30" t="n"/>
      <c r="E45" s="30" t="n"/>
      <c r="F45" s="30" t="n"/>
      <c r="G45" s="31" t="n"/>
      <c r="H45" s="31" t="n"/>
      <c r="I45" s="32">
        <f>IF(G45="","",G45-H45)</f>
        <v/>
      </c>
      <c r="J45" s="30" t="n"/>
      <c r="K45" s="30" t="n"/>
    </row>
    <row r="46">
      <c r="A46" s="55" t="n"/>
      <c r="B46" s="30" t="n"/>
      <c r="C46" s="30" t="n"/>
      <c r="D46" s="30" t="n"/>
      <c r="E46" s="30" t="n"/>
      <c r="F46" s="30" t="n"/>
      <c r="G46" s="31" t="n"/>
      <c r="H46" s="31" t="n"/>
      <c r="I46" s="32">
        <f>IF(G46="","",G46-H46)</f>
        <v/>
      </c>
      <c r="J46" s="30" t="n"/>
      <c r="K46" s="30" t="n"/>
    </row>
    <row r="47">
      <c r="A47" s="55" t="n"/>
      <c r="B47" s="30" t="n"/>
      <c r="C47" s="30" t="n"/>
      <c r="D47" s="30" t="n"/>
      <c r="E47" s="30" t="n"/>
      <c r="F47" s="30" t="n"/>
      <c r="G47" s="31" t="n"/>
      <c r="H47" s="31" t="n"/>
      <c r="I47" s="32">
        <f>IF(G47="","",G47-H47)</f>
        <v/>
      </c>
      <c r="J47" s="30" t="n"/>
      <c r="K47" s="30" t="n"/>
    </row>
    <row r="48">
      <c r="A48" s="55" t="n"/>
      <c r="B48" s="30" t="n"/>
      <c r="C48" s="30" t="n"/>
      <c r="D48" s="30" t="n"/>
      <c r="E48" s="30" t="n"/>
      <c r="F48" s="30" t="n"/>
      <c r="G48" s="31" t="n"/>
      <c r="H48" s="31" t="n"/>
      <c r="I48" s="32">
        <f>IF(G48="","",G48-H48)</f>
        <v/>
      </c>
      <c r="J48" s="30" t="n"/>
      <c r="K48" s="30" t="n"/>
    </row>
    <row r="49">
      <c r="A49" s="55" t="n"/>
      <c r="B49" s="30" t="n"/>
      <c r="C49" s="30" t="n"/>
      <c r="D49" s="30" t="n"/>
      <c r="E49" s="30" t="n"/>
      <c r="F49" s="30" t="n"/>
      <c r="G49" s="31" t="n"/>
      <c r="H49" s="31" t="n"/>
      <c r="I49" s="32">
        <f>IF(G49="","",G49-H49)</f>
        <v/>
      </c>
      <c r="J49" s="30" t="n"/>
      <c r="K49" s="30" t="n"/>
    </row>
    <row r="50">
      <c r="A50" s="55" t="n"/>
      <c r="B50" s="30" t="n"/>
      <c r="C50" s="30" t="n"/>
      <c r="D50" s="30" t="n"/>
      <c r="E50" s="30" t="n"/>
      <c r="F50" s="30" t="n"/>
      <c r="G50" s="31" t="n"/>
      <c r="H50" s="31" t="n"/>
      <c r="I50" s="32">
        <f>IF(G50="","",G50-H50)</f>
        <v/>
      </c>
      <c r="J50" s="30" t="n"/>
      <c r="K50" s="30" t="n"/>
    </row>
    <row r="51">
      <c r="A51" s="55" t="n"/>
      <c r="B51" s="30" t="n"/>
      <c r="C51" s="30" t="n"/>
      <c r="D51" s="30" t="n"/>
      <c r="E51" s="30" t="n"/>
      <c r="F51" s="30" t="n"/>
      <c r="G51" s="31" t="n"/>
      <c r="H51" s="31" t="n"/>
      <c r="I51" s="32">
        <f>IF(G51="","",G51-H51)</f>
        <v/>
      </c>
      <c r="J51" s="30" t="n"/>
      <c r="K51" s="30" t="n"/>
    </row>
    <row r="52">
      <c r="A52" s="55" t="n"/>
      <c r="B52" s="30" t="n"/>
      <c r="C52" s="30" t="n"/>
      <c r="D52" s="30" t="n"/>
      <c r="E52" s="30" t="n"/>
      <c r="F52" s="30" t="n"/>
      <c r="G52" s="31" t="n"/>
      <c r="H52" s="31" t="n"/>
      <c r="I52" s="32">
        <f>IF(G52="","",G52-H52)</f>
        <v/>
      </c>
      <c r="J52" s="30" t="n"/>
      <c r="K52" s="30" t="n"/>
    </row>
    <row r="53">
      <c r="A53" s="55" t="n"/>
      <c r="B53" s="30" t="n"/>
      <c r="C53" s="30" t="n"/>
      <c r="D53" s="30" t="n"/>
      <c r="E53" s="30" t="n"/>
      <c r="F53" s="30" t="n"/>
      <c r="G53" s="31" t="n"/>
      <c r="H53" s="31" t="n"/>
      <c r="I53" s="32">
        <f>IF(G53="","",G53-H53)</f>
        <v/>
      </c>
      <c r="J53" s="30" t="n"/>
      <c r="K53" s="30" t="n"/>
    </row>
    <row r="54">
      <c r="A54" s="55" t="n"/>
      <c r="B54" s="30" t="n"/>
      <c r="C54" s="30" t="n"/>
      <c r="D54" s="30" t="n"/>
      <c r="E54" s="30" t="n"/>
      <c r="F54" s="30" t="n"/>
      <c r="G54" s="31" t="n"/>
      <c r="H54" s="31" t="n"/>
      <c r="I54" s="32">
        <f>IF(G54="","",G54-H54)</f>
        <v/>
      </c>
      <c r="J54" s="30" t="n"/>
      <c r="K54" s="30" t="n"/>
    </row>
    <row r="55">
      <c r="A55" s="55" t="n"/>
      <c r="B55" s="30" t="n"/>
      <c r="C55" s="30" t="n"/>
      <c r="D55" s="30" t="n"/>
      <c r="E55" s="30" t="n"/>
      <c r="F55" s="30" t="n"/>
      <c r="G55" s="31" t="n"/>
      <c r="H55" s="31" t="n"/>
      <c r="I55" s="32">
        <f>IF(G55="","",G55-H55)</f>
        <v/>
      </c>
      <c r="J55" s="30" t="n"/>
      <c r="K55" s="30" t="n"/>
    </row>
    <row r="56">
      <c r="A56" s="55" t="n"/>
      <c r="B56" s="30" t="n"/>
      <c r="C56" s="30" t="n"/>
      <c r="D56" s="30" t="n"/>
      <c r="E56" s="30" t="n"/>
      <c r="F56" s="30" t="n"/>
      <c r="G56" s="31" t="n"/>
      <c r="H56" s="31" t="n"/>
      <c r="I56" s="32">
        <f>IF(G56="","",G56-H56)</f>
        <v/>
      </c>
      <c r="J56" s="30" t="n"/>
      <c r="K56" s="30" t="n"/>
    </row>
    <row r="57">
      <c r="A57" s="55" t="n"/>
      <c r="B57" s="30" t="n"/>
      <c r="C57" s="30" t="n"/>
      <c r="D57" s="30" t="n"/>
      <c r="E57" s="30" t="n"/>
      <c r="F57" s="30" t="n"/>
      <c r="G57" s="31" t="n"/>
      <c r="H57" s="31" t="n"/>
      <c r="I57" s="32">
        <f>IF(G57="","",G57-H57)</f>
        <v/>
      </c>
      <c r="J57" s="30" t="n"/>
      <c r="K57" s="30" t="n"/>
    </row>
    <row r="58">
      <c r="A58" s="55" t="n"/>
      <c r="B58" s="30" t="n"/>
      <c r="C58" s="30" t="n"/>
      <c r="D58" s="30" t="n"/>
      <c r="E58" s="30" t="n"/>
      <c r="F58" s="30" t="n"/>
      <c r="G58" s="31" t="n"/>
      <c r="H58" s="31" t="n"/>
      <c r="I58" s="32">
        <f>IF(G58="","",G58-H58)</f>
        <v/>
      </c>
      <c r="J58" s="30" t="n"/>
      <c r="K58" s="30" t="n"/>
    </row>
    <row r="59">
      <c r="A59" s="55" t="n"/>
      <c r="B59" s="30" t="n"/>
      <c r="C59" s="30" t="n"/>
      <c r="D59" s="30" t="n"/>
      <c r="E59" s="30" t="n"/>
      <c r="F59" s="30" t="n"/>
      <c r="G59" s="31" t="n"/>
      <c r="H59" s="31" t="n"/>
      <c r="I59" s="32">
        <f>IF(G59="","",G59-H59)</f>
        <v/>
      </c>
      <c r="J59" s="30" t="n"/>
      <c r="K59" s="30" t="n"/>
    </row>
    <row r="60">
      <c r="A60" s="55" t="n"/>
      <c r="B60" s="30" t="n"/>
      <c r="C60" s="30" t="n"/>
      <c r="D60" s="30" t="n"/>
      <c r="E60" s="30" t="n"/>
      <c r="F60" s="30" t="n"/>
      <c r="G60" s="31" t="n"/>
      <c r="H60" s="31" t="n"/>
      <c r="I60" s="32">
        <f>IF(G60="","",G60-H60)</f>
        <v/>
      </c>
      <c r="J60" s="30" t="n"/>
      <c r="K60" s="30" t="n"/>
    </row>
    <row r="61">
      <c r="A61" s="55" t="n"/>
      <c r="B61" s="30" t="n"/>
      <c r="C61" s="30" t="n"/>
      <c r="D61" s="30" t="n"/>
      <c r="E61" s="30" t="n"/>
      <c r="F61" s="30" t="n"/>
      <c r="G61" s="31" t="n"/>
      <c r="H61" s="31" t="n"/>
      <c r="I61" s="32">
        <f>IF(G61="","",G61-H61)</f>
        <v/>
      </c>
      <c r="J61" s="30" t="n"/>
      <c r="K61" s="30" t="n"/>
    </row>
    <row r="62">
      <c r="A62" s="55" t="n"/>
      <c r="B62" s="30" t="n"/>
      <c r="C62" s="30" t="n"/>
      <c r="D62" s="30" t="n"/>
      <c r="E62" s="30" t="n"/>
      <c r="F62" s="30" t="n"/>
      <c r="G62" s="31" t="n"/>
      <c r="H62" s="31" t="n"/>
      <c r="I62" s="32">
        <f>IF(G62="","",G62-H62)</f>
        <v/>
      </c>
      <c r="J62" s="30" t="n"/>
      <c r="K62" s="30" t="n"/>
    </row>
    <row r="63">
      <c r="A63" s="55" t="n"/>
      <c r="B63" s="30" t="n"/>
      <c r="C63" s="30" t="n"/>
      <c r="D63" s="30" t="n"/>
      <c r="E63" s="30" t="n"/>
      <c r="F63" s="30" t="n"/>
      <c r="G63" s="31" t="n"/>
      <c r="H63" s="31" t="n"/>
      <c r="I63" s="32">
        <f>IF(G63="","",G63-H63)</f>
        <v/>
      </c>
      <c r="J63" s="30" t="n"/>
      <c r="K63" s="30" t="n"/>
    </row>
    <row r="64">
      <c r="A64" s="55" t="n"/>
      <c r="B64" s="30" t="n"/>
      <c r="C64" s="30" t="n"/>
      <c r="D64" s="30" t="n"/>
      <c r="E64" s="30" t="n"/>
      <c r="F64" s="30" t="n"/>
      <c r="G64" s="31" t="n"/>
      <c r="H64" s="31" t="n"/>
      <c r="I64" s="32">
        <f>IF(G64="","",G64-H64)</f>
        <v/>
      </c>
      <c r="J64" s="30" t="n"/>
      <c r="K64" s="30" t="n"/>
    </row>
    <row r="65">
      <c r="A65" s="55" t="n"/>
      <c r="B65" s="30" t="n"/>
      <c r="C65" s="30" t="n"/>
      <c r="D65" s="30" t="n"/>
      <c r="E65" s="30" t="n"/>
      <c r="F65" s="30" t="n"/>
      <c r="G65" s="31" t="n"/>
      <c r="H65" s="31" t="n"/>
      <c r="I65" s="32">
        <f>IF(G65="","",G65-H65)</f>
        <v/>
      </c>
      <c r="J65" s="30" t="n"/>
      <c r="K65" s="30" t="n"/>
    </row>
    <row r="66">
      <c r="A66" s="55" t="n"/>
      <c r="B66" s="30" t="n"/>
      <c r="C66" s="30" t="n"/>
      <c r="D66" s="30" t="n"/>
      <c r="E66" s="30" t="n"/>
      <c r="F66" s="30" t="n"/>
      <c r="G66" s="31" t="n"/>
      <c r="H66" s="31" t="n"/>
      <c r="I66" s="32">
        <f>IF(G66="","",G66-H66)</f>
        <v/>
      </c>
      <c r="J66" s="30" t="n"/>
      <c r="K66" s="30" t="n"/>
    </row>
    <row r="67">
      <c r="A67" s="55" t="n"/>
      <c r="B67" s="30" t="n"/>
      <c r="C67" s="30" t="n"/>
      <c r="D67" s="30" t="n"/>
      <c r="E67" s="30" t="n"/>
      <c r="F67" s="30" t="n"/>
      <c r="G67" s="31" t="n"/>
      <c r="H67" s="31" t="n"/>
      <c r="I67" s="32">
        <f>IF(G67="","",G67-H67)</f>
        <v/>
      </c>
      <c r="J67" s="30" t="n"/>
      <c r="K67" s="30" t="n"/>
    </row>
    <row r="68">
      <c r="A68" s="55" t="n"/>
      <c r="B68" s="30" t="n"/>
      <c r="C68" s="30" t="n"/>
      <c r="D68" s="30" t="n"/>
      <c r="E68" s="30" t="n"/>
      <c r="F68" s="30" t="n"/>
      <c r="G68" s="31" t="n"/>
      <c r="H68" s="31" t="n"/>
      <c r="I68" s="32">
        <f>IF(G68="","",G68-H68)</f>
        <v/>
      </c>
      <c r="J68" s="30" t="n"/>
      <c r="K68" s="30" t="n"/>
    </row>
    <row r="69">
      <c r="A69" s="55" t="n"/>
      <c r="B69" s="30" t="n"/>
      <c r="C69" s="30" t="n"/>
      <c r="D69" s="30" t="n"/>
      <c r="E69" s="30" t="n"/>
      <c r="F69" s="30" t="n"/>
      <c r="G69" s="31" t="n"/>
      <c r="H69" s="31" t="n"/>
      <c r="I69" s="32">
        <f>IF(G69="","",G69-H69)</f>
        <v/>
      </c>
      <c r="J69" s="30" t="n"/>
      <c r="K69" s="30" t="n"/>
    </row>
    <row r="70">
      <c r="A70" s="55" t="n"/>
      <c r="B70" s="30" t="n"/>
      <c r="C70" s="30" t="n"/>
      <c r="D70" s="30" t="n"/>
      <c r="E70" s="30" t="n"/>
      <c r="F70" s="30" t="n"/>
      <c r="G70" s="31" t="n"/>
      <c r="H70" s="31" t="n"/>
      <c r="I70" s="32">
        <f>IF(G70="","",G70-H70)</f>
        <v/>
      </c>
      <c r="J70" s="30" t="n"/>
      <c r="K70" s="30" t="n"/>
    </row>
    <row r="71">
      <c r="A71" s="55" t="n"/>
      <c r="B71" s="30" t="n"/>
      <c r="C71" s="30" t="n"/>
      <c r="D71" s="30" t="n"/>
      <c r="E71" s="30" t="n"/>
      <c r="F71" s="30" t="n"/>
      <c r="G71" s="31" t="n"/>
      <c r="H71" s="31" t="n"/>
      <c r="I71" s="32">
        <f>IF(G71="","",G71-H71)</f>
        <v/>
      </c>
      <c r="J71" s="30" t="n"/>
      <c r="K71" s="30" t="n"/>
    </row>
    <row r="72">
      <c r="A72" s="55" t="n"/>
      <c r="B72" s="30" t="n"/>
      <c r="C72" s="30" t="n"/>
      <c r="D72" s="30" t="n"/>
      <c r="E72" s="30" t="n"/>
      <c r="F72" s="30" t="n"/>
      <c r="G72" s="31" t="n"/>
      <c r="H72" s="31" t="n"/>
      <c r="I72" s="32">
        <f>IF(G72="","",G72-H72)</f>
        <v/>
      </c>
      <c r="J72" s="30" t="n"/>
      <c r="K72" s="30" t="n"/>
    </row>
    <row r="73">
      <c r="A73" s="55" t="n"/>
      <c r="B73" s="30" t="n"/>
      <c r="C73" s="30" t="n"/>
      <c r="D73" s="30" t="n"/>
      <c r="E73" s="30" t="n"/>
      <c r="F73" s="30" t="n"/>
      <c r="G73" s="31" t="n"/>
      <c r="H73" s="31" t="n"/>
      <c r="I73" s="32">
        <f>IF(G73="","",G73-H73)</f>
        <v/>
      </c>
      <c r="J73" s="30" t="n"/>
      <c r="K73" s="30" t="n"/>
    </row>
    <row r="74">
      <c r="A74" s="55" t="n"/>
      <c r="B74" s="30" t="n"/>
      <c r="C74" s="30" t="n"/>
      <c r="D74" s="30" t="n"/>
      <c r="E74" s="30" t="n"/>
      <c r="F74" s="30" t="n"/>
      <c r="G74" s="31" t="n"/>
      <c r="H74" s="31" t="n"/>
      <c r="I74" s="32">
        <f>IF(G74="","",G74-H74)</f>
        <v/>
      </c>
      <c r="J74" s="30" t="n"/>
      <c r="K74" s="30" t="n"/>
    </row>
    <row r="75">
      <c r="A75" s="55" t="n"/>
      <c r="B75" s="30" t="n"/>
      <c r="C75" s="30" t="n"/>
      <c r="D75" s="30" t="n"/>
      <c r="E75" s="30" t="n"/>
      <c r="F75" s="30" t="n"/>
      <c r="G75" s="31" t="n"/>
      <c r="H75" s="31" t="n"/>
      <c r="I75" s="32">
        <f>IF(G75="","",G75-H75)</f>
        <v/>
      </c>
      <c r="J75" s="30" t="n"/>
      <c r="K75" s="30" t="n"/>
    </row>
    <row r="76">
      <c r="A76" s="55" t="n"/>
      <c r="B76" s="30" t="n"/>
      <c r="C76" s="30" t="n"/>
      <c r="D76" s="30" t="n"/>
      <c r="E76" s="30" t="n"/>
      <c r="F76" s="30" t="n"/>
      <c r="G76" s="31" t="n"/>
      <c r="H76" s="31" t="n"/>
      <c r="I76" s="32">
        <f>IF(G76="","",G76-H76)</f>
        <v/>
      </c>
      <c r="J76" s="30" t="n"/>
      <c r="K76" s="30" t="n"/>
    </row>
    <row r="77">
      <c r="A77" s="55" t="n"/>
      <c r="B77" s="30" t="n"/>
      <c r="C77" s="30" t="n"/>
      <c r="D77" s="30" t="n"/>
      <c r="E77" s="30" t="n"/>
      <c r="F77" s="30" t="n"/>
      <c r="G77" s="31" t="n"/>
      <c r="H77" s="31" t="n"/>
      <c r="I77" s="32">
        <f>IF(G77="","",G77-H77)</f>
        <v/>
      </c>
      <c r="J77" s="30" t="n"/>
      <c r="K77" s="30" t="n"/>
    </row>
    <row r="78">
      <c r="A78" s="55" t="n"/>
      <c r="B78" s="30" t="n"/>
      <c r="C78" s="30" t="n"/>
      <c r="D78" s="30" t="n"/>
      <c r="E78" s="30" t="n"/>
      <c r="F78" s="30" t="n"/>
      <c r="G78" s="31" t="n"/>
      <c r="H78" s="31" t="n"/>
      <c r="I78" s="32">
        <f>IF(G78="","",G78-H78)</f>
        <v/>
      </c>
      <c r="J78" s="30" t="n"/>
      <c r="K78" s="30" t="n"/>
    </row>
    <row r="79">
      <c r="A79" s="55" t="n"/>
      <c r="B79" s="30" t="n"/>
      <c r="C79" s="30" t="n"/>
      <c r="D79" s="30" t="n"/>
      <c r="E79" s="30" t="n"/>
      <c r="F79" s="30" t="n"/>
      <c r="G79" s="31" t="n"/>
      <c r="H79" s="31" t="n"/>
      <c r="I79" s="32">
        <f>IF(G79="","",G79-H79)</f>
        <v/>
      </c>
      <c r="J79" s="30" t="n"/>
      <c r="K79" s="30" t="n"/>
    </row>
    <row r="80">
      <c r="A80" s="55" t="n"/>
      <c r="B80" s="30" t="n"/>
      <c r="C80" s="30" t="n"/>
      <c r="D80" s="30" t="n"/>
      <c r="E80" s="30" t="n"/>
      <c r="F80" s="30" t="n"/>
      <c r="G80" s="31" t="n"/>
      <c r="H80" s="31" t="n"/>
      <c r="I80" s="32">
        <f>IF(G80="","",G80-H80)</f>
        <v/>
      </c>
      <c r="J80" s="30" t="n"/>
      <c r="K80" s="30" t="n"/>
    </row>
    <row r="81">
      <c r="A81" s="55" t="n"/>
      <c r="B81" s="30" t="n"/>
      <c r="C81" s="30" t="n"/>
      <c r="D81" s="30" t="n"/>
      <c r="E81" s="30" t="n"/>
      <c r="F81" s="30" t="n"/>
      <c r="G81" s="31" t="n"/>
      <c r="H81" s="31" t="n"/>
      <c r="I81" s="32">
        <f>IF(G81="","",G81-H81)</f>
        <v/>
      </c>
      <c r="J81" s="30" t="n"/>
      <c r="K81" s="30" t="n"/>
    </row>
    <row r="82">
      <c r="A82" s="55" t="n"/>
      <c r="B82" s="30" t="n"/>
      <c r="C82" s="30" t="n"/>
      <c r="D82" s="30" t="n"/>
      <c r="E82" s="30" t="n"/>
      <c r="F82" s="30" t="n"/>
      <c r="G82" s="31" t="n"/>
      <c r="H82" s="31" t="n"/>
      <c r="I82" s="32">
        <f>IF(G82="","",G82-H82)</f>
        <v/>
      </c>
      <c r="J82" s="30" t="n"/>
      <c r="K82" s="30" t="n"/>
    </row>
    <row r="83">
      <c r="A83" s="55" t="n"/>
      <c r="B83" s="30" t="n"/>
      <c r="C83" s="30" t="n"/>
      <c r="D83" s="30" t="n"/>
      <c r="E83" s="30" t="n"/>
      <c r="F83" s="30" t="n"/>
      <c r="G83" s="31" t="n"/>
      <c r="H83" s="31" t="n"/>
      <c r="I83" s="32">
        <f>IF(G83="","",G83-H83)</f>
        <v/>
      </c>
      <c r="J83" s="30" t="n"/>
      <c r="K83" s="30" t="n"/>
    </row>
    <row r="84">
      <c r="A84" s="55" t="n"/>
      <c r="B84" s="30" t="n"/>
      <c r="C84" s="30" t="n"/>
      <c r="D84" s="30" t="n"/>
      <c r="E84" s="30" t="n"/>
      <c r="F84" s="30" t="n"/>
      <c r="G84" s="31" t="n"/>
      <c r="H84" s="31" t="n"/>
      <c r="I84" s="32">
        <f>IF(G84="","",G84-H84)</f>
        <v/>
      </c>
      <c r="J84" s="30" t="n"/>
      <c r="K84" s="30" t="n"/>
    </row>
    <row r="85"/>
    <row r="86">
      <c r="A86" s="19" t="inlineStr">
        <is>
          <t>DAILY / MONTHLY SUMMARY</t>
        </is>
      </c>
    </row>
    <row r="87">
      <c r="A87" s="57" t="inlineStr">
        <is>
          <t>Total Transactions</t>
        </is>
      </c>
      <c r="B87" s="37">
        <f>COUNT(I5:I84)</f>
        <v/>
      </c>
    </row>
    <row r="88">
      <c r="A88" s="57" t="inlineStr">
        <is>
          <t>Total Net Sales (EGP)</t>
        </is>
      </c>
      <c r="B88" s="39">
        <f>SUM(I5:I84)</f>
        <v/>
      </c>
    </row>
    <row r="89">
      <c r="A89" s="57" t="inlineStr">
        <is>
          <t>Average Sale Value (EGP)</t>
        </is>
      </c>
      <c r="B89" s="50">
        <f>IFERROR(B88/B87,0)</f>
        <v/>
      </c>
    </row>
    <row r="90">
      <c r="A90" s="57" t="inlineStr">
        <is>
          <t>Today's Sales (EGP)</t>
        </is>
      </c>
      <c r="B90" s="50">
        <f>SUMIF(A5:A84,TODAY(),I5:I84)</f>
        <v/>
      </c>
    </row>
    <row r="91">
      <c r="A91" s="57" t="inlineStr">
        <is>
          <t>This Month's Sales (EGP)</t>
        </is>
      </c>
      <c r="B91" s="50">
        <f>SUMPRODUCT((TEXT(A5:A84,"yyyymm")=TEXT(TODAY(),"yyyymm"))*N(I5:I84))</f>
        <v/>
      </c>
    </row>
    <row r="92"/>
    <row r="93">
      <c r="A93" s="11" t="inlineStr">
        <is>
          <t>Log every actual sale here. Net Price, and the summary metrics below, calculate automatically.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3">
    <mergeCell ref="A2:K2"/>
    <mergeCell ref="A1:K1"/>
    <mergeCell ref="A86:C86"/>
  </mergeCells>
  <dataValidations count="2">
    <dataValidation sqref="J5:J84" showDropDown="0" showInputMessage="0" showErrorMessage="0" allowBlank="1" type="list">
      <formula1>"Cash,Bank Transfer,Credit Card,Mobile Wallet"</formula1>
    </dataValidation>
    <dataValidation sqref="E5:E84" showDropDown="0" showInputMessage="0" showErrorMessage="0" allowBlank="1" type="list">
      <formula1>"Casual,Formal,Sports,Sandals,Boots,Slippers"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H5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" customWidth="1" min="3" max="3"/>
    <col width="24" customWidth="1" min="4" max="4"/>
    <col width="16" customWidth="1" min="5" max="5"/>
    <col width="3" customWidth="1" min="6" max="6"/>
    <col width="24" customWidth="1" min="7" max="7"/>
    <col width="16" customWidth="1" min="8" max="8"/>
  </cols>
  <sheetData>
    <row r="1" ht="32" customHeight="1">
      <c r="A1" s="12" t="inlineStr">
        <is>
          <t>KPI DASHBOARD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13" t="inlineStr">
        <is>
          <t>Key performance indicators at a glance</t>
        </is>
      </c>
      <c r="B2" s="2" t="n"/>
      <c r="C2" s="2" t="n"/>
      <c r="D2" s="2" t="n"/>
      <c r="E2" s="2" t="n"/>
      <c r="F2" s="2" t="n"/>
      <c r="G2" s="2" t="n"/>
      <c r="H2" s="2" t="n"/>
    </row>
    <row r="3"/>
    <row r="4" ht="28" customHeight="1">
      <c r="A4" s="58" t="inlineStr">
        <is>
          <t>Expected Monthly Revenue</t>
        </is>
      </c>
      <c r="D4" s="58" t="inlineStr">
        <is>
          <t>Current Inventory Value</t>
        </is>
      </c>
      <c r="G4" s="58" t="inlineStr">
        <is>
          <t>Average Gross Margin %</t>
        </is>
      </c>
    </row>
    <row r="5" ht="28" customHeight="1">
      <c r="A5" s="59" t="inlineStr">
        <is>
          <t>Expected Gross Profit</t>
        </is>
      </c>
      <c r="D5" s="59" t="inlineStr">
        <is>
          <t>Monthly Operating Expenses</t>
        </is>
      </c>
      <c r="G5" s="60" t="inlineStr">
        <is>
          <t>Break-Even Units / Month</t>
        </is>
      </c>
    </row>
    <row r="6" ht="28" customHeight="1">
      <c r="A6" s="59" t="inlineStr">
        <is>
          <t>Expected Net Profit (Month 1)</t>
        </is>
      </c>
      <c r="D6" s="59" t="inlineStr">
        <is>
          <t>Closing Cash (Month 12)</t>
        </is>
      </c>
      <c r="G6" s="61" t="inlineStr">
        <is>
          <t>Actual Sales-to-Date (Tracker)</t>
        </is>
      </c>
    </row>
    <row r="7" ht="26" customHeight="1">
      <c r="A7" s="62">
        <f>'P&amp;L'!B9</f>
        <v/>
      </c>
      <c r="D7" s="62">
        <f>'Cash Flow'!M10</f>
        <v/>
      </c>
      <c r="G7" s="62">
        <f>'Sales Tracker'!B88</f>
        <v/>
      </c>
    </row>
    <row r="8"/>
    <row r="9"/>
    <row r="10">
      <c r="A10" s="19" t="inlineStr">
        <is>
          <t>MONTHLY TREND (from P&amp;L sheet)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s="19" t="inlineStr">
        <is>
          <t>EXPENSE BREAKDOWN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>
      <c r="A52" s="11" t="inlineStr">
        <is>
          <t>All KPI tiles and charts update automatically as you fill in the Business, Costs, Sales Forecast and Tracker sheets.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6">
    <mergeCell ref="A4:B4"/>
    <mergeCell ref="D6:E6"/>
    <mergeCell ref="G4:H4"/>
    <mergeCell ref="D7:E7"/>
    <mergeCell ref="A7:B7"/>
    <mergeCell ref="G7:H7"/>
    <mergeCell ref="A2:H2"/>
    <mergeCell ref="D5:E5"/>
    <mergeCell ref="A5:B5"/>
    <mergeCell ref="G5:H5"/>
    <mergeCell ref="A10:H10"/>
    <mergeCell ref="D4:E4"/>
    <mergeCell ref="G6:H6"/>
    <mergeCell ref="A1:H1"/>
    <mergeCell ref="A32:H32"/>
    <mergeCell ref="A6:B6"/>
  </mergeCell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2" customWidth="1" min="4" max="4"/>
    <col width="22" customWidth="1" min="5" max="5"/>
    <col width="12" customWidth="1" min="6" max="6"/>
    <col width="18" customWidth="1" min="7" max="7"/>
    <col width="16" customWidth="1" min="8" max="8"/>
    <col width="16" customWidth="1" min="9" max="9"/>
    <col width="20" customWidth="1" min="10" max="10"/>
  </cols>
  <sheetData>
    <row r="1" ht="32" customHeight="1">
      <c r="A1" s="12" t="inlineStr">
        <is>
          <t>MARKET RESEARCH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13" t="inlineStr">
        <is>
          <t>Competitor landscape in El Warraq &amp; surrounding areas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/>
    <row r="4" ht="30" customHeight="1">
      <c r="A4" s="4" t="inlineStr">
        <is>
          <t>Competitor Name</t>
        </is>
      </c>
      <c r="B4" s="4" t="inlineStr">
        <is>
          <t>Location</t>
        </is>
      </c>
      <c r="C4" s="4" t="inlineStr">
        <is>
          <t>Store Size (sqm)</t>
        </is>
      </c>
      <c r="D4" s="4" t="inlineStr">
        <is>
          <t>Strengths</t>
        </is>
      </c>
      <c r="E4" s="4" t="inlineStr">
        <is>
          <t>Weaknesses</t>
        </is>
      </c>
      <c r="F4" s="4" t="inlineStr">
        <is>
          <t>Price Range</t>
        </is>
      </c>
      <c r="G4" s="4" t="inlineStr">
        <is>
          <t>Best Selling Products</t>
        </is>
      </c>
      <c r="H4" s="4" t="inlineStr">
        <is>
          <t>Brands Carried</t>
        </is>
      </c>
      <c r="I4" s="4" t="inlineStr">
        <is>
          <t>Target Customers</t>
        </is>
      </c>
      <c r="J4" s="4" t="inlineStr">
        <is>
          <t>Notes</t>
        </is>
      </c>
    </row>
    <row r="5">
      <c r="A5" s="63" t="inlineStr">
        <is>
          <t>Example Competitor Store</t>
        </is>
      </c>
      <c r="B5" s="63" t="inlineStr">
        <is>
          <t>El Warraq Main St.</t>
        </is>
      </c>
      <c r="C5" s="63" t="n">
        <v>45</v>
      </c>
      <c r="D5" s="63" t="inlineStr">
        <is>
          <t>Prime location, low prices</t>
        </is>
      </c>
      <c r="E5" s="63" t="inlineStr">
        <is>
          <t>Limited sizes, poor lighting</t>
        </is>
      </c>
      <c r="F5" s="63" t="inlineStr">
        <is>
          <t>150-350 EGP</t>
        </is>
      </c>
      <c r="G5" s="63" t="inlineStr">
        <is>
          <t>School shoes</t>
        </is>
      </c>
      <c r="H5" s="63" t="inlineStr">
        <is>
          <t>Local brands</t>
        </is>
      </c>
      <c r="I5" s="63" t="inlineStr">
        <is>
          <t>Budget families</t>
        </is>
      </c>
      <c r="J5" s="63" t="inlineStr">
        <is>
          <t>Example row - overwrite with real research</t>
        </is>
      </c>
    </row>
    <row r="6">
      <c r="A6" s="63" t="n"/>
      <c r="B6" s="63" t="n"/>
      <c r="C6" s="63" t="n"/>
      <c r="D6" s="63" t="n"/>
      <c r="E6" s="63" t="n"/>
      <c r="F6" s="63" t="n"/>
      <c r="G6" s="63" t="n"/>
      <c r="H6" s="63" t="n"/>
      <c r="I6" s="63" t="n"/>
      <c r="J6" s="63" t="n"/>
    </row>
    <row r="7">
      <c r="A7" s="63" t="n"/>
      <c r="B7" s="63" t="n"/>
      <c r="C7" s="63" t="n"/>
      <c r="D7" s="63" t="n"/>
      <c r="E7" s="63" t="n"/>
      <c r="F7" s="63" t="n"/>
      <c r="G7" s="63" t="n"/>
      <c r="H7" s="63" t="n"/>
      <c r="I7" s="63" t="n"/>
      <c r="J7" s="63" t="n"/>
    </row>
    <row r="8">
      <c r="A8" s="63" t="n"/>
      <c r="B8" s="63" t="n"/>
      <c r="C8" s="63" t="n"/>
      <c r="D8" s="63" t="n"/>
      <c r="E8" s="63" t="n"/>
      <c r="F8" s="63" t="n"/>
      <c r="G8" s="63" t="n"/>
      <c r="H8" s="63" t="n"/>
      <c r="I8" s="63" t="n"/>
      <c r="J8" s="63" t="n"/>
    </row>
    <row r="9">
      <c r="A9" s="63" t="n"/>
      <c r="B9" s="63" t="n"/>
      <c r="C9" s="63" t="n"/>
      <c r="D9" s="63" t="n"/>
      <c r="E9" s="63" t="n"/>
      <c r="F9" s="63" t="n"/>
      <c r="G9" s="63" t="n"/>
      <c r="H9" s="63" t="n"/>
      <c r="I9" s="63" t="n"/>
      <c r="J9" s="63" t="n"/>
    </row>
    <row r="10">
      <c r="A10" s="63" t="n"/>
      <c r="B10" s="63" t="n"/>
      <c r="C10" s="63" t="n"/>
      <c r="D10" s="63" t="n"/>
      <c r="E10" s="63" t="n"/>
      <c r="F10" s="63" t="n"/>
      <c r="G10" s="63" t="n"/>
      <c r="H10" s="63" t="n"/>
      <c r="I10" s="63" t="n"/>
      <c r="J10" s="63" t="n"/>
    </row>
    <row r="11">
      <c r="A11" s="63" t="n"/>
      <c r="B11" s="63" t="n"/>
      <c r="C11" s="63" t="n"/>
      <c r="D11" s="63" t="n"/>
      <c r="E11" s="63" t="n"/>
      <c r="F11" s="63" t="n"/>
      <c r="G11" s="63" t="n"/>
      <c r="H11" s="63" t="n"/>
      <c r="I11" s="63" t="n"/>
      <c r="J11" s="63" t="n"/>
    </row>
    <row r="12">
      <c r="A12" s="63" t="n"/>
      <c r="B12" s="63" t="n"/>
      <c r="C12" s="63" t="n"/>
      <c r="D12" s="63" t="n"/>
      <c r="E12" s="63" t="n"/>
      <c r="F12" s="63" t="n"/>
      <c r="G12" s="63" t="n"/>
      <c r="H12" s="63" t="n"/>
      <c r="I12" s="63" t="n"/>
      <c r="J12" s="63" t="n"/>
    </row>
    <row r="13">
      <c r="A13" s="63" t="n"/>
      <c r="B13" s="63" t="n"/>
      <c r="C13" s="63" t="n"/>
      <c r="D13" s="63" t="n"/>
      <c r="E13" s="63" t="n"/>
      <c r="F13" s="63" t="n"/>
      <c r="G13" s="63" t="n"/>
      <c r="H13" s="63" t="n"/>
      <c r="I13" s="63" t="n"/>
      <c r="J13" s="63" t="n"/>
    </row>
    <row r="14">
      <c r="A14" s="63" t="n"/>
      <c r="B14" s="63" t="n"/>
      <c r="C14" s="63" t="n"/>
      <c r="D14" s="63" t="n"/>
      <c r="E14" s="63" t="n"/>
      <c r="F14" s="63" t="n"/>
      <c r="G14" s="63" t="n"/>
      <c r="H14" s="63" t="n"/>
      <c r="I14" s="63" t="n"/>
      <c r="J14" s="63" t="n"/>
    </row>
    <row r="15">
      <c r="A15" s="63" t="n"/>
      <c r="B15" s="63" t="n"/>
      <c r="C15" s="63" t="n"/>
      <c r="D15" s="63" t="n"/>
      <c r="E15" s="63" t="n"/>
      <c r="F15" s="63" t="n"/>
      <c r="G15" s="63" t="n"/>
      <c r="H15" s="63" t="n"/>
      <c r="I15" s="63" t="n"/>
      <c r="J15" s="63" t="n"/>
    </row>
    <row r="16">
      <c r="A16" s="63" t="n"/>
      <c r="B16" s="63" t="n"/>
      <c r="C16" s="63" t="n"/>
      <c r="D16" s="63" t="n"/>
      <c r="E16" s="63" t="n"/>
      <c r="F16" s="63" t="n"/>
      <c r="G16" s="63" t="n"/>
      <c r="H16" s="63" t="n"/>
      <c r="I16" s="63" t="n"/>
      <c r="J16" s="63" t="n"/>
    </row>
    <row r="17"/>
    <row r="18">
      <c r="A18" s="11" t="inlineStr">
        <is>
          <t>Visit or research nearby competitors and complete one row per store. This informs pricing and positioning decisions in the SWOT and Marketing Plan sheets.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:J1"/>
    <mergeCell ref="A2:J2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40" customWidth="1" min="5" max="5"/>
  </cols>
  <sheetData>
    <row r="1" ht="32" customHeight="1">
      <c r="A1" s="12" t="inlineStr">
        <is>
          <t>RISK ANALYSIS</t>
        </is>
      </c>
      <c r="B1" s="2" t="n"/>
      <c r="C1" s="2" t="n"/>
      <c r="D1" s="2" t="n"/>
      <c r="E1" s="2" t="n"/>
    </row>
    <row r="2" ht="16" customHeight="1">
      <c r="A2" s="13" t="inlineStr">
        <is>
          <t>Identify, score and mitigate key business risks</t>
        </is>
      </c>
      <c r="B2" s="2" t="n"/>
      <c r="C2" s="2" t="n"/>
      <c r="D2" s="2" t="n"/>
      <c r="E2" s="2" t="n"/>
    </row>
    <row r="3"/>
    <row r="4" ht="30" customHeight="1">
      <c r="A4" s="4" t="inlineStr">
        <is>
          <t>Possible Risk</t>
        </is>
      </c>
      <c r="B4" s="4" t="inlineStr">
        <is>
          <t>Likelihood</t>
        </is>
      </c>
      <c r="C4" s="4" t="inlineStr">
        <is>
          <t>Impact</t>
        </is>
      </c>
      <c r="D4" s="4" t="inlineStr">
        <is>
          <t>Risk Score</t>
        </is>
      </c>
      <c r="E4" s="4" t="inlineStr">
        <is>
          <t>Mitigation Plan</t>
        </is>
      </c>
    </row>
    <row r="5">
      <c r="A5" s="64" t="inlineStr">
        <is>
          <t>Low footfall / weak location visibility</t>
        </is>
      </c>
      <c r="B5" s="30" t="inlineStr">
        <is>
          <t>Medium</t>
        </is>
      </c>
      <c r="C5" s="30" t="inlineStr">
        <is>
          <t>Medium</t>
        </is>
      </c>
      <c r="D5" s="65">
        <f>(IF(B5="Low",1,IF(B5="Medium",2,IF(B5="High",3,0))))*(IF(C5="Low",1,IF(C5="Medium",2,IF(C5="High",3,0))))</f>
        <v/>
      </c>
      <c r="E5" s="66" t="n"/>
    </row>
    <row r="6">
      <c r="A6" s="64" t="inlineStr">
        <is>
          <t>Strong price competition from nearby stores</t>
        </is>
      </c>
      <c r="B6" s="30" t="inlineStr">
        <is>
          <t>Medium</t>
        </is>
      </c>
      <c r="C6" s="30" t="inlineStr">
        <is>
          <t>Medium</t>
        </is>
      </c>
      <c r="D6" s="65">
        <f>(IF(B6="Low",1,IF(B6="Medium",2,IF(B6="High",3,0))))*(IF(C6="Low",1,IF(C6="Medium",2,IF(C6="High",3,0))))</f>
        <v/>
      </c>
      <c r="E6" s="66" t="n"/>
    </row>
    <row r="7">
      <c r="A7" s="64" t="inlineStr">
        <is>
          <t>Slow-moving / dead stock (wrong sizes or styles)</t>
        </is>
      </c>
      <c r="B7" s="30" t="inlineStr">
        <is>
          <t>Medium</t>
        </is>
      </c>
      <c r="C7" s="30" t="inlineStr">
        <is>
          <t>Medium</t>
        </is>
      </c>
      <c r="D7" s="65">
        <f>(IF(B7="Low",1,IF(B7="Medium",2,IF(B7="High",3,0))))*(IF(C7="Low",1,IF(C7="Medium",2,IF(C7="High",3,0))))</f>
        <v/>
      </c>
      <c r="E7" s="66" t="n"/>
    </row>
    <row r="8">
      <c r="A8" s="64" t="inlineStr">
        <is>
          <t>Supplier delivery delays</t>
        </is>
      </c>
      <c r="B8" s="30" t="inlineStr">
        <is>
          <t>Medium</t>
        </is>
      </c>
      <c r="C8" s="30" t="inlineStr">
        <is>
          <t>Medium</t>
        </is>
      </c>
      <c r="D8" s="65">
        <f>(IF(B8="Low",1,IF(B8="Medium",2,IF(B8="High",3,0))))*(IF(C8="Low",1,IF(C8="Medium",2,IF(C8="High",3,0))))</f>
        <v/>
      </c>
      <c r="E8" s="66" t="n"/>
    </row>
    <row r="9">
      <c r="A9" s="64" t="inlineStr">
        <is>
          <t>Currency devaluation raising import/leather costs</t>
        </is>
      </c>
      <c r="B9" s="30" t="inlineStr">
        <is>
          <t>Medium</t>
        </is>
      </c>
      <c r="C9" s="30" t="inlineStr">
        <is>
          <t>Medium</t>
        </is>
      </c>
      <c r="D9" s="65">
        <f>(IF(B9="Low",1,IF(B9="Medium",2,IF(B9="High",3,0))))*(IF(C9="Low",1,IF(C9="Medium",2,IF(C9="High",3,0))))</f>
        <v/>
      </c>
      <c r="E9" s="66" t="n"/>
    </row>
    <row r="10">
      <c r="A10" s="64" t="inlineStr">
        <is>
          <t>Seasonality (low demand off-season)</t>
        </is>
      </c>
      <c r="B10" s="30" t="inlineStr">
        <is>
          <t>Medium</t>
        </is>
      </c>
      <c r="C10" s="30" t="inlineStr">
        <is>
          <t>Medium</t>
        </is>
      </c>
      <c r="D10" s="65">
        <f>(IF(B10="Low",1,IF(B10="Medium",2,IF(B10="High",3,0))))*(IF(C10="Low",1,IF(C10="Medium",2,IF(C10="High",3,0))))</f>
        <v/>
      </c>
      <c r="E10" s="66" t="n"/>
    </row>
    <row r="11">
      <c r="A11" s="64" t="inlineStr">
        <is>
          <t>Staff turnover / theft</t>
        </is>
      </c>
      <c r="B11" s="30" t="inlineStr">
        <is>
          <t>Medium</t>
        </is>
      </c>
      <c r="C11" s="30" t="inlineStr">
        <is>
          <t>Medium</t>
        </is>
      </c>
      <c r="D11" s="65">
        <f>(IF(B11="Low",1,IF(B11="Medium",2,IF(B11="High",3,0))))*(IF(C11="Low",1,IF(C11="Medium",2,IF(C11="High",3,0))))</f>
        <v/>
      </c>
      <c r="E11" s="66" t="n"/>
    </row>
    <row r="12">
      <c r="A12" s="64" t="inlineStr">
        <is>
          <t>Rent increase at lease renewal</t>
        </is>
      </c>
      <c r="B12" s="30" t="inlineStr">
        <is>
          <t>Medium</t>
        </is>
      </c>
      <c r="C12" s="30" t="inlineStr">
        <is>
          <t>Medium</t>
        </is>
      </c>
      <c r="D12" s="65">
        <f>(IF(B12="Low",1,IF(B12="Medium",2,IF(B12="High",3,0))))*(IF(C12="Low",1,IF(C12="Medium",2,IF(C12="High",3,0))))</f>
        <v/>
      </c>
      <c r="E12" s="66" t="n"/>
    </row>
    <row r="13">
      <c r="A13" s="64" t="inlineStr">
        <is>
          <t>Economic downturn reducing disposable income</t>
        </is>
      </c>
      <c r="B13" s="30" t="inlineStr">
        <is>
          <t>Medium</t>
        </is>
      </c>
      <c r="C13" s="30" t="inlineStr">
        <is>
          <t>Medium</t>
        </is>
      </c>
      <c r="D13" s="65">
        <f>(IF(B13="Low",1,IF(B13="Medium",2,IF(B13="High",3,0))))*(IF(C13="Low",1,IF(C13="Medium",2,IF(C13="High",3,0))))</f>
        <v/>
      </c>
      <c r="E13" s="66" t="n"/>
    </row>
    <row r="14">
      <c r="A14" s="64" t="inlineStr">
        <is>
          <t>Online / e-commerce competition</t>
        </is>
      </c>
      <c r="B14" s="30" t="inlineStr">
        <is>
          <t>Medium</t>
        </is>
      </c>
      <c r="C14" s="30" t="inlineStr">
        <is>
          <t>Medium</t>
        </is>
      </c>
      <c r="D14" s="65">
        <f>(IF(B14="Low",1,IF(B14="Medium",2,IF(B14="High",3,0))))*(IF(C14="Low",1,IF(C14="Medium",2,IF(C14="High",3,0))))</f>
        <v/>
      </c>
      <c r="E14" s="66" t="n"/>
    </row>
    <row r="15"/>
    <row r="16">
      <c r="A16" s="11" t="inlineStr">
        <is>
          <t>Risk Score = Likelihood x Impact (1-3 scale each). Scores 6-9 = high priority (red), 3-4 = medium (yellow), 1-2 = low (green). Fill in the Mitigation Plan for every medium/high risk.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2:E2"/>
    <mergeCell ref="A1:E1"/>
  </mergeCells>
  <conditionalFormatting sqref="D5:D14">
    <cfRule type="cellIs" priority="1" operator="greaterThanOrEqual" dxfId="2">
      <formula>6</formula>
    </cfRule>
    <cfRule type="cellIs" priority="2" operator="between" dxfId="5">
      <formula>3</formula>
      <formula>4</formula>
    </cfRule>
    <cfRule type="cellIs" priority="3" operator="lessThanOrEqual" dxfId="4">
      <formula>2</formula>
    </cfRule>
  </conditionalFormatting>
  <dataValidations count="1">
    <dataValidation sqref="B5:C14" showDropDown="0" showInputMessage="0" showErrorMessage="0" allowBlank="1" type="list">
      <formula1>"Low,Medium,High"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E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6" customWidth="1" min="4" max="4"/>
    <col width="30" customWidth="1" min="5" max="5"/>
  </cols>
  <sheetData>
    <row r="1" ht="32" customHeight="1">
      <c r="A1" s="12" t="inlineStr">
        <is>
          <t>MARKETING PLAN</t>
        </is>
      </c>
      <c r="B1" s="2" t="n"/>
      <c r="C1" s="2" t="n"/>
      <c r="D1" s="2" t="n"/>
      <c r="E1" s="2" t="n"/>
    </row>
    <row r="2" ht="16" customHeight="1">
      <c r="A2" s="13" t="inlineStr">
        <is>
          <t>Offline &amp; online marketing channel budget and plan</t>
        </is>
      </c>
      <c r="B2" s="2" t="n"/>
      <c r="C2" s="2" t="n"/>
      <c r="D2" s="2" t="n"/>
      <c r="E2" s="2" t="n"/>
    </row>
    <row r="3"/>
    <row r="4" ht="30" customHeight="1">
      <c r="A4" s="4" t="inlineStr">
        <is>
          <t>Channel</t>
        </is>
      </c>
      <c r="B4" s="4" t="inlineStr">
        <is>
          <t>Active? (Y/N)</t>
        </is>
      </c>
      <c r="C4" s="4" t="inlineStr">
        <is>
          <t>Monthly Budget (EGP)</t>
        </is>
      </c>
      <c r="D4" s="4" t="inlineStr">
        <is>
          <t>Frequency / Plan</t>
        </is>
      </c>
      <c r="E4" s="4" t="inlineStr">
        <is>
          <t>Notes</t>
        </is>
      </c>
    </row>
    <row r="5">
      <c r="A5" s="56" t="inlineStr">
        <is>
          <t>Offline Marketing (general)</t>
        </is>
      </c>
      <c r="B5" s="30" t="inlineStr">
        <is>
          <t>Y</t>
        </is>
      </c>
      <c r="C5" s="31" t="n"/>
      <c r="D5" s="30" t="n"/>
      <c r="E5" s="30" t="n"/>
    </row>
    <row r="6">
      <c r="A6" s="56" t="inlineStr">
        <is>
          <t>Facebook</t>
        </is>
      </c>
      <c r="B6" s="30" t="inlineStr">
        <is>
          <t>Y</t>
        </is>
      </c>
      <c r="C6" s="31" t="n"/>
      <c r="D6" s="30" t="n"/>
      <c r="E6" s="30" t="n"/>
    </row>
    <row r="7">
      <c r="A7" s="56" t="inlineStr">
        <is>
          <t>Instagram</t>
        </is>
      </c>
      <c r="B7" s="30" t="inlineStr">
        <is>
          <t>Y</t>
        </is>
      </c>
      <c r="C7" s="31" t="n"/>
      <c r="D7" s="30" t="n"/>
      <c r="E7" s="30" t="n"/>
    </row>
    <row r="8">
      <c r="A8" s="56" t="inlineStr">
        <is>
          <t>TikTok</t>
        </is>
      </c>
      <c r="B8" s="30" t="inlineStr">
        <is>
          <t>Y</t>
        </is>
      </c>
      <c r="C8" s="31" t="n"/>
      <c r="D8" s="30" t="n"/>
      <c r="E8" s="30" t="n"/>
    </row>
    <row r="9">
      <c r="A9" s="56" t="inlineStr">
        <is>
          <t>Google Maps Listing</t>
        </is>
      </c>
      <c r="B9" s="30" t="inlineStr">
        <is>
          <t>Y</t>
        </is>
      </c>
      <c r="C9" s="31" t="n"/>
      <c r="D9" s="30" t="n"/>
      <c r="E9" s="30" t="n"/>
    </row>
    <row r="10">
      <c r="A10" s="56" t="inlineStr">
        <is>
          <t>Flyers</t>
        </is>
      </c>
      <c r="B10" s="30" t="inlineStr">
        <is>
          <t>Y</t>
        </is>
      </c>
      <c r="C10" s="31" t="n"/>
      <c r="D10" s="30" t="n"/>
      <c r="E10" s="30" t="n"/>
    </row>
    <row r="11">
      <c r="A11" s="56" t="inlineStr">
        <is>
          <t>Street Banners</t>
        </is>
      </c>
      <c r="B11" s="30" t="inlineStr">
        <is>
          <t>Y</t>
        </is>
      </c>
      <c r="C11" s="31" t="n"/>
      <c r="D11" s="30" t="n"/>
      <c r="E11" s="30" t="n"/>
    </row>
    <row r="12">
      <c r="A12" s="56" t="inlineStr">
        <is>
          <t>Referral Campaigns</t>
        </is>
      </c>
      <c r="B12" s="30" t="inlineStr">
        <is>
          <t>Y</t>
        </is>
      </c>
      <c r="C12" s="31" t="n"/>
      <c r="D12" s="30" t="n"/>
      <c r="E12" s="30" t="n"/>
    </row>
    <row r="13">
      <c r="A13" s="56" t="inlineStr">
        <is>
          <t>Seasonal Offers / Promotions</t>
        </is>
      </c>
      <c r="B13" s="30" t="inlineStr">
        <is>
          <t>Y</t>
        </is>
      </c>
      <c r="C13" s="31" t="n"/>
      <c r="D13" s="30" t="n"/>
      <c r="E13" s="30" t="n"/>
    </row>
    <row r="14"/>
    <row r="15">
      <c r="A15" s="28" t="inlineStr">
        <is>
          <t>TOTAL MARKETING BUDGET / MONTH</t>
        </is>
      </c>
      <c r="B15" s="27" t="n"/>
      <c r="C15" s="29">
        <f>SUMIF(B5:B13,"Y",C5:C13)</f>
        <v/>
      </c>
      <c r="D15" s="27" t="n"/>
      <c r="E15" s="27" t="n"/>
    </row>
    <row r="16"/>
    <row r="17">
      <c r="A17" s="11" t="inlineStr">
        <is>
          <t>Mark each channel Active (Y/N); the total budget only sums channels marked Y. This should reconcile with the 'Marketing' line in Monthly Expenses.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2:E2"/>
    <mergeCell ref="A1:E1"/>
  </mergeCells>
  <conditionalFormatting sqref="B5:B13">
    <cfRule type="cellIs" priority="1" operator="equal" dxfId="6">
      <formula>"N"</formula>
    </cfRule>
  </conditionalFormatting>
  <dataValidations count="1">
    <dataValidation sqref="B5:B13" showDropDown="0" showInputMessage="0" showErrorMessage="0" allowBlank="1" type="list">
      <formula1>"Y,N"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3" customWidth="1" min="3" max="3"/>
    <col width="32" customWidth="1" min="4" max="4"/>
    <col width="3" customWidth="1" min="5" max="5"/>
  </cols>
  <sheetData>
    <row r="1" ht="32" customHeight="1">
      <c r="A1" s="12" t="inlineStr">
        <is>
          <t>SWOT ANALYSIS</t>
        </is>
      </c>
      <c r="B1" s="2" t="n"/>
      <c r="C1" s="2" t="n"/>
      <c r="D1" s="2" t="n"/>
      <c r="E1" s="2" t="n"/>
    </row>
    <row r="2" ht="16" customHeight="1">
      <c r="A2" s="13" t="inlineStr">
        <is>
          <t>Strengths, Weaknesses, Opportunities, Threats</t>
        </is>
      </c>
      <c r="B2" s="2" t="n"/>
      <c r="C2" s="2" t="n"/>
      <c r="D2" s="2" t="n"/>
      <c r="E2" s="2" t="n"/>
    </row>
    <row r="3"/>
    <row r="4" ht="22" customHeight="1">
      <c r="B4" s="67" t="inlineStr">
        <is>
          <t>STRENGTHS</t>
        </is>
      </c>
      <c r="D4" s="68" t="inlineStr">
        <is>
          <t>WEAKNESSES</t>
        </is>
      </c>
    </row>
    <row r="5" ht="18" customHeight="1">
      <c r="B5" s="20" t="inlineStr">
        <is>
          <t>e.g. Prime location with high foot traffic</t>
        </is>
      </c>
      <c r="D5" s="20" t="inlineStr">
        <is>
          <t>e.g. Limited initial capital</t>
        </is>
      </c>
    </row>
    <row r="6" ht="18" customHeight="1">
      <c r="B6" s="20" t="inlineStr"/>
      <c r="D6" s="20" t="inlineStr"/>
    </row>
    <row r="7" ht="18" customHeight="1">
      <c r="B7" s="20" t="inlineStr"/>
      <c r="D7" s="20" t="inlineStr"/>
    </row>
    <row r="8" ht="18" customHeight="1">
      <c r="B8" s="20" t="inlineStr"/>
      <c r="D8" s="20" t="inlineStr"/>
    </row>
    <row r="9" ht="18" customHeight="1">
      <c r="B9" s="20" t="inlineStr"/>
      <c r="D9" s="20" t="inlineStr"/>
    </row>
    <row r="10" ht="18" customHeight="1">
      <c r="B10" s="20" t="inlineStr"/>
      <c r="D10" s="20" t="inlineStr"/>
    </row>
    <row r="11" ht="18" customHeight="1">
      <c r="B11" s="20" t="inlineStr"/>
      <c r="D11" s="20" t="inlineStr"/>
    </row>
    <row r="12" ht="18" customHeight="1">
      <c r="B12" s="20" t="inlineStr"/>
      <c r="D12" s="20" t="inlineStr"/>
    </row>
    <row r="13"/>
    <row r="14" ht="22" customHeight="1">
      <c r="B14" s="69" t="inlineStr">
        <is>
          <t>OPPORTUNITIES</t>
        </is>
      </c>
      <c r="D14" s="70" t="inlineStr">
        <is>
          <t>THREATS</t>
        </is>
      </c>
    </row>
    <row r="15" ht="18" customHeight="1">
      <c r="B15" s="20" t="inlineStr">
        <is>
          <t>e.g. Growing residential population in El Warraq</t>
        </is>
      </c>
      <c r="D15" s="20" t="inlineStr">
        <is>
          <t>e.g. New competitor entry / economic slowdown</t>
        </is>
      </c>
    </row>
    <row r="16" ht="18" customHeight="1">
      <c r="B16" s="20" t="inlineStr"/>
      <c r="D16" s="20" t="inlineStr"/>
    </row>
    <row r="17" ht="18" customHeight="1">
      <c r="B17" s="20" t="inlineStr"/>
      <c r="D17" s="20" t="inlineStr"/>
    </row>
    <row r="18" ht="18" customHeight="1">
      <c r="B18" s="20" t="inlineStr"/>
      <c r="D18" s="20" t="inlineStr"/>
    </row>
    <row r="19" ht="18" customHeight="1">
      <c r="B19" s="20" t="inlineStr"/>
      <c r="D19" s="20" t="inlineStr"/>
    </row>
    <row r="20" ht="18" customHeight="1">
      <c r="B20" s="20" t="inlineStr"/>
      <c r="D20" s="20" t="inlineStr"/>
    </row>
    <row r="21" ht="18" customHeight="1">
      <c r="B21" s="20" t="inlineStr"/>
      <c r="D21" s="20" t="inlineStr"/>
    </row>
    <row r="22" ht="18" customHeight="1">
      <c r="B22" s="20" t="inlineStr"/>
      <c r="D22" s="20" t="inlineStr"/>
    </row>
    <row r="23"/>
    <row r="24">
      <c r="B24" s="11" t="inlineStr">
        <is>
          <t>Fill in each yellow cell with one point per line. Use the Market Research and Risk Analysis sheets as input.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38">
    <mergeCell ref="D20:E20"/>
    <mergeCell ref="B16:C16"/>
    <mergeCell ref="D10:E10"/>
    <mergeCell ref="B7:C7"/>
    <mergeCell ref="D19:E19"/>
    <mergeCell ref="B22:C22"/>
    <mergeCell ref="A1:E1"/>
    <mergeCell ref="D22:E22"/>
    <mergeCell ref="B18:C18"/>
    <mergeCell ref="B12:C12"/>
    <mergeCell ref="D21:E21"/>
    <mergeCell ref="D6:E6"/>
    <mergeCell ref="B21:C21"/>
    <mergeCell ref="B11:C11"/>
    <mergeCell ref="D11:E11"/>
    <mergeCell ref="B14:C14"/>
    <mergeCell ref="B17:C17"/>
    <mergeCell ref="B8:C8"/>
    <mergeCell ref="D17:E17"/>
    <mergeCell ref="D16:E16"/>
    <mergeCell ref="D7:E7"/>
    <mergeCell ref="A2:E2"/>
    <mergeCell ref="B19:C19"/>
    <mergeCell ref="B10:C10"/>
    <mergeCell ref="D4:E4"/>
    <mergeCell ref="D18:E18"/>
    <mergeCell ref="B9:C9"/>
    <mergeCell ref="D9:E9"/>
    <mergeCell ref="D12:E12"/>
    <mergeCell ref="D8:E8"/>
    <mergeCell ref="B6:C6"/>
    <mergeCell ref="B15:C15"/>
    <mergeCell ref="D15:E15"/>
    <mergeCell ref="B5:C5"/>
    <mergeCell ref="B20:C20"/>
    <mergeCell ref="D5:E5"/>
    <mergeCell ref="D14:E14"/>
    <mergeCell ref="B4:C4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 ht="32" customHeight="1">
      <c r="A1" s="12" t="inlineStr">
        <is>
          <t>ACTION PLAN</t>
        </is>
      </c>
      <c r="B1" s="2" t="n"/>
      <c r="C1" s="2" t="n"/>
      <c r="D1" s="2" t="n"/>
      <c r="E1" s="2" t="n"/>
      <c r="F1" s="2" t="n"/>
    </row>
    <row r="2" ht="16" customHeight="1">
      <c r="A2" s="13" t="inlineStr">
        <is>
          <t>Pre-opening task list and ownership</t>
        </is>
      </c>
      <c r="B2" s="2" t="n"/>
      <c r="C2" s="2" t="n"/>
      <c r="D2" s="2" t="n"/>
      <c r="E2" s="2" t="n"/>
      <c r="F2" s="2" t="n"/>
    </row>
    <row r="3"/>
    <row r="4" ht="30" customHeight="1">
      <c r="A4" s="4" t="inlineStr">
        <is>
          <t>Task</t>
        </is>
      </c>
      <c r="B4" s="4" t="inlineStr">
        <is>
          <t>Responsible</t>
        </is>
      </c>
      <c r="C4" s="4" t="inlineStr">
        <is>
          <t>Budget (EGP)</t>
        </is>
      </c>
      <c r="D4" s="4" t="inlineStr">
        <is>
          <t>Priority</t>
        </is>
      </c>
      <c r="E4" s="4" t="inlineStr">
        <is>
          <t>Deadline</t>
        </is>
      </c>
      <c r="F4" s="4" t="inlineStr">
        <is>
          <t>Status</t>
        </is>
      </c>
    </row>
    <row r="5">
      <c r="A5" s="56" t="inlineStr">
        <is>
          <t>Finalize lease agreement</t>
        </is>
      </c>
      <c r="B5" s="30" t="n"/>
      <c r="C5" s="31" t="n"/>
      <c r="D5" s="30" t="inlineStr">
        <is>
          <t>Medium</t>
        </is>
      </c>
      <c r="E5" s="30" t="n"/>
      <c r="F5" s="30" t="inlineStr">
        <is>
          <t>Not Started</t>
        </is>
      </c>
    </row>
    <row r="6">
      <c r="A6" s="56" t="inlineStr">
        <is>
          <t>Complete commercial registration</t>
        </is>
      </c>
      <c r="B6" s="30" t="n"/>
      <c r="C6" s="31" t="n"/>
      <c r="D6" s="30" t="inlineStr">
        <is>
          <t>Medium</t>
        </is>
      </c>
      <c r="E6" s="30" t="n"/>
      <c r="F6" s="30" t="inlineStr">
        <is>
          <t>Not Started</t>
        </is>
      </c>
    </row>
    <row r="7">
      <c r="A7" s="56" t="inlineStr">
        <is>
          <t>Complete tax registration</t>
        </is>
      </c>
      <c r="B7" s="30" t="n"/>
      <c r="C7" s="31" t="n"/>
      <c r="D7" s="30" t="inlineStr">
        <is>
          <t>Medium</t>
        </is>
      </c>
      <c r="E7" s="30" t="n"/>
      <c r="F7" s="30" t="inlineStr">
        <is>
          <t>Not Started</t>
        </is>
      </c>
    </row>
    <row r="8">
      <c r="A8" s="56" t="inlineStr">
        <is>
          <t>Renovation &amp; interior fit-out</t>
        </is>
      </c>
      <c r="B8" s="30" t="n"/>
      <c r="C8" s="31" t="n"/>
      <c r="D8" s="30" t="inlineStr">
        <is>
          <t>Medium</t>
        </is>
      </c>
      <c r="E8" s="30" t="n"/>
      <c r="F8" s="30" t="inlineStr">
        <is>
          <t>Not Started</t>
        </is>
      </c>
    </row>
    <row r="9">
      <c r="A9" s="56" t="inlineStr">
        <is>
          <t>Order signboard &amp; branding</t>
        </is>
      </c>
      <c r="B9" s="30" t="n"/>
      <c r="C9" s="31" t="n"/>
      <c r="D9" s="30" t="inlineStr">
        <is>
          <t>Medium</t>
        </is>
      </c>
      <c r="E9" s="30" t="n"/>
      <c r="F9" s="30" t="inlineStr">
        <is>
          <t>Not Started</t>
        </is>
      </c>
    </row>
    <row r="10">
      <c r="A10" s="56" t="inlineStr">
        <is>
          <t>Purchase POS system &amp; cameras</t>
        </is>
      </c>
      <c r="B10" s="30" t="n"/>
      <c r="C10" s="31" t="n"/>
      <c r="D10" s="30" t="inlineStr">
        <is>
          <t>Medium</t>
        </is>
      </c>
      <c r="E10" s="30" t="n"/>
      <c r="F10" s="30" t="inlineStr">
        <is>
          <t>Not Started</t>
        </is>
      </c>
    </row>
    <row r="11">
      <c r="A11" s="56" t="inlineStr">
        <is>
          <t>Place first inventory order</t>
        </is>
      </c>
      <c r="B11" s="30" t="n"/>
      <c r="C11" s="31" t="n"/>
      <c r="D11" s="30" t="inlineStr">
        <is>
          <t>Medium</t>
        </is>
      </c>
      <c r="E11" s="30" t="n"/>
      <c r="F11" s="30" t="inlineStr">
        <is>
          <t>Not Started</t>
        </is>
      </c>
    </row>
    <row r="12">
      <c r="A12" s="56" t="inlineStr">
        <is>
          <t>Hire &amp; train staff</t>
        </is>
      </c>
      <c r="B12" s="30" t="n"/>
      <c r="C12" s="31" t="n"/>
      <c r="D12" s="30" t="inlineStr">
        <is>
          <t>Medium</t>
        </is>
      </c>
      <c r="E12" s="30" t="n"/>
      <c r="F12" s="30" t="inlineStr">
        <is>
          <t>Not Started</t>
        </is>
      </c>
    </row>
    <row r="13">
      <c r="A13" s="56" t="inlineStr">
        <is>
          <t>Set up social media pages</t>
        </is>
      </c>
      <c r="B13" s="30" t="n"/>
      <c r="C13" s="31" t="n"/>
      <c r="D13" s="30" t="inlineStr">
        <is>
          <t>Medium</t>
        </is>
      </c>
      <c r="E13" s="30" t="n"/>
      <c r="F13" s="30" t="inlineStr">
        <is>
          <t>Not Started</t>
        </is>
      </c>
    </row>
    <row r="14">
      <c r="A14" s="56" t="inlineStr">
        <is>
          <t>Launch marketing campaign</t>
        </is>
      </c>
      <c r="B14" s="30" t="n"/>
      <c r="C14" s="31" t="n"/>
      <c r="D14" s="30" t="inlineStr">
        <is>
          <t>Medium</t>
        </is>
      </c>
      <c r="E14" s="30" t="n"/>
      <c r="F14" s="30" t="inlineStr">
        <is>
          <t>Not Started</t>
        </is>
      </c>
    </row>
    <row r="15">
      <c r="A15" s="56" t="inlineStr">
        <is>
          <t>Soft opening</t>
        </is>
      </c>
      <c r="B15" s="30" t="n"/>
      <c r="C15" s="31" t="n"/>
      <c r="D15" s="30" t="inlineStr">
        <is>
          <t>Medium</t>
        </is>
      </c>
      <c r="E15" s="30" t="n"/>
      <c r="F15" s="30" t="inlineStr">
        <is>
          <t>Not Started</t>
        </is>
      </c>
    </row>
    <row r="16">
      <c r="A16" s="56" t="inlineStr">
        <is>
          <t>Grand opening event</t>
        </is>
      </c>
      <c r="B16" s="30" t="n"/>
      <c r="C16" s="31" t="n"/>
      <c r="D16" s="30" t="inlineStr">
        <is>
          <t>Medium</t>
        </is>
      </c>
      <c r="E16" s="30" t="n"/>
      <c r="F16" s="30" t="inlineStr">
        <is>
          <t>Not Started</t>
        </is>
      </c>
    </row>
    <row r="17"/>
    <row r="18">
      <c r="A18" s="28" t="inlineStr">
        <is>
          <t>TOTAL ACTION PLAN BUDGET</t>
        </is>
      </c>
      <c r="B18" s="27" t="n"/>
      <c r="C18" s="29">
        <f>SUM(C5:C16)</f>
        <v/>
      </c>
      <c r="D18" s="27" t="n"/>
      <c r="E18" s="27" t="n"/>
      <c r="F18" s="27" t="n"/>
    </row>
    <row r="19"/>
    <row r="20">
      <c r="A20" s="11" t="inlineStr">
        <is>
          <t>Update Status as tasks progress; conditional formatting highlights Done (green), In Progress (yellow) and Delayed (red).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2:F2"/>
    <mergeCell ref="A1:F1"/>
  </mergeCells>
  <conditionalFormatting sqref="F5:F16">
    <cfRule type="cellIs" priority="1" operator="equal" dxfId="4">
      <formula>"Done"</formula>
    </cfRule>
    <cfRule type="cellIs" priority="2" operator="equal" dxfId="2">
      <formula>"Delayed"</formula>
    </cfRule>
    <cfRule type="cellIs" priority="3" operator="equal" dxfId="5">
      <formula>"In Progress"</formula>
    </cfRule>
  </conditionalFormatting>
  <conditionalFormatting sqref="D5:D16">
    <cfRule type="cellIs" priority="4" operator="equal" dxfId="1">
      <formula>"High"</formula>
    </cfRule>
  </conditionalFormatting>
  <dataValidations count="2">
    <dataValidation sqref="D5:D16" showDropDown="0" showInputMessage="0" showErrorMessage="0" allowBlank="1" type="list">
      <formula1>"Low,Medium,High"</formula1>
    </dataValidation>
    <dataValidation sqref="F5:F16" showDropDown="0" showInputMessage="0" showErrorMessage="0" allowBlank="1" type="list">
      <formula1>"Not Started,In Progress,Done,Delayed"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C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 ht="32" customHeight="1">
      <c r="A1" s="12" t="inlineStr">
        <is>
          <t>FINAL SUMMARY</t>
        </is>
      </c>
      <c r="B1" s="2" t="n"/>
      <c r="C1" s="2" t="n"/>
    </row>
    <row r="2" ht="16" customHeight="1">
      <c r="A2" s="13" t="inlineStr">
        <is>
          <t>Investor / bank-ready feasibility snapshot</t>
        </is>
      </c>
      <c r="B2" s="2" t="n"/>
      <c r="C2" s="2" t="n"/>
    </row>
    <row r="3"/>
    <row r="4" ht="30" customHeight="1">
      <c r="A4" s="4" t="inlineStr">
        <is>
          <t>Metric</t>
        </is>
      </c>
      <c r="B4" s="4" t="inlineStr">
        <is>
          <t>Value</t>
        </is>
      </c>
      <c r="C4" s="4" t="inlineStr">
        <is>
          <t>Comments</t>
        </is>
      </c>
    </row>
    <row r="5">
      <c r="A5" s="35" t="inlineStr">
        <is>
          <t>Total Startup Investment (EGP)</t>
        </is>
      </c>
      <c r="B5" s="43">
        <f>('Startup Costs'!C35)+('Inventory Plan'!O56)</f>
        <v/>
      </c>
      <c r="C5" s="71" t="inlineStr">
        <is>
          <t>Startup Costs + Initial Inventory</t>
        </is>
      </c>
    </row>
    <row r="6">
      <c r="A6" s="15" t="inlineStr">
        <is>
          <t>Working Capital Needed (3 months, EGP)</t>
        </is>
      </c>
      <c r="B6" s="41">
        <f>('Monthly Expenses'!C19)*3</f>
        <v/>
      </c>
      <c r="C6" s="72" t="inlineStr">
        <is>
          <t>3x monthly operating expenses buffer</t>
        </is>
      </c>
    </row>
    <row r="7">
      <c r="A7" s="35" t="inlineStr">
        <is>
          <t>Total Capital Required (EGP)</t>
        </is>
      </c>
      <c r="B7" s="73">
        <f>B5+B6</f>
        <v/>
      </c>
      <c r="C7" s="71" t="inlineStr">
        <is>
          <t>Startup Investment plus Working Capital</t>
        </is>
      </c>
    </row>
    <row r="8">
      <c r="A8" s="15" t="inlineStr">
        <is>
          <t>Expected Monthly Revenue (EGP)</t>
        </is>
      </c>
      <c r="B8" s="41">
        <f>'Sales Forecast'!C10</f>
        <v/>
      </c>
      <c r="C8" s="72" t="inlineStr">
        <is>
          <t>Expected scenario, Sales Forecast sheet</t>
        </is>
      </c>
    </row>
    <row r="9">
      <c r="A9" s="35" t="inlineStr">
        <is>
          <t>Expected Monthly Net Profit (EGP)</t>
        </is>
      </c>
      <c r="B9" s="43">
        <f>'P&amp;L'!B9</f>
        <v/>
      </c>
      <c r="C9" s="71" t="inlineStr">
        <is>
          <t>From P&amp;L sheet</t>
        </is>
      </c>
    </row>
    <row r="10">
      <c r="A10" s="15" t="inlineStr">
        <is>
          <t>Expected Annual Net Profit (EGP)</t>
        </is>
      </c>
      <c r="B10" s="41">
        <f>'P&amp;L'!N9</f>
        <v/>
      </c>
      <c r="C10" s="72" t="inlineStr">
        <is>
          <t>From P&amp;L sheet, Year Total</t>
        </is>
      </c>
    </row>
    <row r="11">
      <c r="A11" s="35" t="inlineStr">
        <is>
          <t>Return on Investment - Year 1 (%)</t>
        </is>
      </c>
      <c r="B11" s="74">
        <f>IFERROR(B10/B7,0)</f>
        <v/>
      </c>
      <c r="C11" s="71" t="inlineStr">
        <is>
          <t>Annual Net Profit / Total Capital Required</t>
        </is>
      </c>
    </row>
    <row r="12">
      <c r="A12" s="15" t="inlineStr">
        <is>
          <t>Monthly Break-Even Sales (units)</t>
        </is>
      </c>
      <c r="B12" s="46">
        <f>'Break-Even'!B9</f>
        <v/>
      </c>
      <c r="C12" s="72" t="inlineStr">
        <is>
          <t>From Break-Even sheet</t>
        </is>
      </c>
    </row>
    <row r="13">
      <c r="A13" s="35" t="inlineStr">
        <is>
          <t>Estimated Break-Even Month</t>
        </is>
      </c>
      <c r="B13" s="75">
        <f>IF(B9&lt;=0,"Not within 12 months",TEXT(ROUNDUP(B7/B9,0),"0")&amp;" months of net profit to recover capital")</f>
        <v/>
      </c>
      <c r="C13" s="71" t="inlineStr">
        <is>
          <t>First month projected profit covers investment</t>
        </is>
      </c>
    </row>
    <row r="14">
      <c r="A14" s="15" t="inlineStr">
        <is>
          <t>Minimum Cash Needed at Launch (EGP)</t>
        </is>
      </c>
      <c r="B14" s="76">
        <f>B7</f>
        <v/>
      </c>
      <c r="C14" s="72" t="inlineStr">
        <is>
          <t>Equal to Total Capital Required</t>
        </is>
      </c>
    </row>
    <row r="15"/>
    <row r="16">
      <c r="A16" s="19" t="inlineStr">
        <is>
          <t>AUTOMATED WARNINGS</t>
        </is>
      </c>
    </row>
    <row r="17" ht="20" customHeight="1">
      <c r="A17" s="77">
        <f>IF(B9&lt;0,"⚠ Warning: Expected monthly profit is NEGATIVE at current assumptions — revisit pricing, costs or expenses.","✓ Expected monthly profit is positive under current assumptions.")</f>
        <v/>
      </c>
    </row>
    <row r="18" ht="20" customHeight="1">
      <c r="A18" s="77">
        <f>IF('Cash Flow'!M10&lt;0,"⚠ Warning: Projected cash balance goes NEGATIVE within 12 months — plan for extra working capital.","✓ Cash balance remains positive across the 12-month projection.")</f>
        <v/>
      </c>
    </row>
    <row r="19"/>
    <row r="20">
      <c r="A20" s="11" t="inlineStr">
        <is>
          <t>This summary consolidates every other sheet automatically. Update Business Info, Startup Costs, Monthly Expenses, Inventory Plan and Sales Forecast, and this page — and the KPI Dashboard — refresh instantly.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5">
    <mergeCell ref="A1:C1"/>
    <mergeCell ref="A2:C2"/>
    <mergeCell ref="A17:C17"/>
    <mergeCell ref="A18:C18"/>
    <mergeCell ref="A16:C16"/>
  </mergeCells>
  <conditionalFormatting sqref="B11">
    <cfRule type="cellIs" priority="1" operator="lessThan" dxfId="1">
      <formula>0</formula>
    </cfRule>
  </conditionalFormatting>
  <conditionalFormatting sqref="B9">
    <cfRule type="cellIs" priority="2" operator="lessThan" dxfId="1">
      <formula>0</formula>
    </cfRule>
  </conditionalFormatting>
  <conditionalFormatting sqref="A17">
    <cfRule type="expression" priority="3" dxfId="1">
      <formula>B9&lt;0</formula>
    </cfRule>
    <cfRule type="expression" priority="4" dxfId="7">
      <formula>B9&gt;=0</formula>
    </cfRule>
  </conditionalFormatting>
  <conditionalFormatting sqref="A18">
    <cfRule type="expression" priority="5" dxfId="1">
      <formula>'Cash Flow'!M10&lt;0</formula>
    </cfRule>
    <cfRule type="expression" priority="6" dxfId="7">
      <formula>'Cash Flow'!M10&gt;=0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2026-08-05T21:04:25Z</dcterms:created>
  <dcterms:modified xmlns:dcterms="http://purl.org/dc/terms/" xmlns:xsi="http://www.w3.org/2001/XMLSchema-instance" xsi:type="dcterms:W3CDTF">2026-08-05T21:04:25Z</dcterms:modified>
</cp:coreProperties>
</file>